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nika Raje\OneDrive\Desktop\Git\"/>
    </mc:Choice>
  </mc:AlternateContent>
  <xr:revisionPtr revIDLastSave="0" documentId="8_{A5E901A2-04BD-4785-B34F-C613A74F4054}" xr6:coauthVersionLast="47" xr6:coauthVersionMax="47" xr10:uidLastSave="{00000000-0000-0000-0000-000000000000}"/>
  <bookViews>
    <workbookView xWindow="-108" yWindow="-108" windowWidth="23256" windowHeight="12456" activeTab="2" xr2:uid="{B8021DE6-EB77-4F98-A187-C1EFAE904F6B}"/>
  </bookViews>
  <sheets>
    <sheet name="24th July " sheetId="4" r:id="rId1"/>
    <sheet name="Sheet2" sheetId="2" r:id="rId2"/>
    <sheet name="Dashboard " sheetId="5" r:id="rId3"/>
    <sheet name="Sheet1" sheetId="1" r:id="rId4"/>
  </sheets>
  <definedNames>
    <definedName name="Slicer_city">#N/A</definedName>
    <definedName name="Slicer_discount">#N/A</definedName>
    <definedName name="Slicer_order_date">#N/A</definedName>
    <definedName name="Slicer_payment_mode">#N/A</definedName>
    <definedName name="Slicer_region">#N/A</definedName>
  </definedNames>
  <calcPr calcId="191029"/>
  <pivotCaches>
    <pivotCache cacheId="35" r:id="rId5"/>
    <pivotCache cacheId="38" r:id="rId6"/>
    <pivotCache cacheId="46"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4" l="1"/>
  <c r="C8" i="4"/>
</calcChain>
</file>

<file path=xl/sharedStrings.xml><?xml version="1.0" encoding="utf-8"?>
<sst xmlns="http://schemas.openxmlformats.org/spreadsheetml/2006/main" count="309" uniqueCount="54">
  <si>
    <t>discount</t>
  </si>
  <si>
    <t>quantity</t>
  </si>
  <si>
    <t>order_date</t>
  </si>
  <si>
    <t>delivery_date</t>
  </si>
  <si>
    <t>customer_type</t>
  </si>
  <si>
    <t>payment_mode</t>
  </si>
  <si>
    <t>profit</t>
  </si>
  <si>
    <t>Update_city</t>
  </si>
  <si>
    <t>city</t>
  </si>
  <si>
    <t>Member</t>
  </si>
  <si>
    <t>UPI</t>
  </si>
  <si>
    <t>Pune</t>
  </si>
  <si>
    <t>Regular</t>
  </si>
  <si>
    <t>Card</t>
  </si>
  <si>
    <t>Hyderabad</t>
  </si>
  <si>
    <t>Cash</t>
  </si>
  <si>
    <t>Bangalore</t>
  </si>
  <si>
    <t>Mumbai</t>
  </si>
  <si>
    <t>New</t>
  </si>
  <si>
    <t>Chennai</t>
  </si>
  <si>
    <t xml:space="preserve">Delhi </t>
  </si>
  <si>
    <t>mumbai</t>
  </si>
  <si>
    <t>Banglore</t>
  </si>
  <si>
    <t>Delhi</t>
  </si>
  <si>
    <t>pune</t>
  </si>
  <si>
    <t>delhi</t>
  </si>
  <si>
    <t>bangalore</t>
  </si>
  <si>
    <t>chennai</t>
  </si>
  <si>
    <t>region</t>
  </si>
  <si>
    <t>East</t>
  </si>
  <si>
    <t>West</t>
  </si>
  <si>
    <t>North</t>
  </si>
  <si>
    <t>South</t>
  </si>
  <si>
    <t>Grand Total</t>
  </si>
  <si>
    <t>Row Labels</t>
  </si>
  <si>
    <t>Sum of discount</t>
  </si>
  <si>
    <t>sales</t>
  </si>
  <si>
    <t>&lt;07-01-2023</t>
  </si>
  <si>
    <t>Jan</t>
  </si>
  <si>
    <t>Feb</t>
  </si>
  <si>
    <t>Mar</t>
  </si>
  <si>
    <t>Apr</t>
  </si>
  <si>
    <t>May</t>
  </si>
  <si>
    <t>Jun</t>
  </si>
  <si>
    <t>Jul</t>
  </si>
  <si>
    <t>Aug</t>
  </si>
  <si>
    <t>Sep</t>
  </si>
  <si>
    <t>Oct</t>
  </si>
  <si>
    <t>Nov</t>
  </si>
  <si>
    <t>Dec</t>
  </si>
  <si>
    <t xml:space="preserve">Dmart Retail Business Dashboard </t>
  </si>
  <si>
    <t xml:space="preserve">Total Sales </t>
  </si>
  <si>
    <t>Sum of profit</t>
  </si>
  <si>
    <t>Count of Years (order_date)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</si>
</sst>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0"/>
      <name val="Cambria"/>
    </font>
    <font>
      <sz val="14"/>
      <color theme="1"/>
      <name val="Cambria"/>
    </font>
    <font>
      <sz val="14"/>
      <color theme="1"/>
      <name val="Calibri"/>
      <family val="2"/>
      <scheme val="minor"/>
    </font>
    <font>
      <b/>
      <sz val="11"/>
      <color theme="1"/>
      <name val="Calibri"/>
      <family val="2"/>
      <scheme val="minor"/>
    </font>
    <font>
      <sz val="28"/>
      <color rgb="FFFF0000"/>
      <name val="Calibri"/>
      <family val="2"/>
      <scheme val="minor"/>
    </font>
    <font>
      <sz val="24"/>
      <color rgb="FF203864"/>
      <name val="Calibri"/>
      <family val="2"/>
      <scheme val="minor"/>
    </font>
    <font>
      <sz val="18"/>
      <color theme="4" tint="-0.249977111117893"/>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theme="7" tint="0.79998168889431442"/>
        <bgColor theme="7" tint="0.79998168889431442"/>
      </patternFill>
    </fill>
    <fill>
      <patternFill patternType="solid">
        <fgColor theme="7" tint="0.79998168889431442"/>
        <bgColor indexed="64"/>
      </patternFill>
    </fill>
    <fill>
      <patternFill patternType="solid">
        <fgColor theme="4" tint="0.79998168889431442"/>
        <bgColor indexed="64"/>
      </patternFill>
    </fill>
  </fills>
  <borders count="14">
    <border>
      <left/>
      <right/>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bottom style="thin">
        <color theme="4" tint="0.39997558519241921"/>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3" borderId="2" xfId="0" applyFont="1" applyFill="1" applyBorder="1"/>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0" fillId="4" borderId="0" xfId="0" applyFill="1"/>
    <xf numFmtId="0" fontId="0" fillId="4" borderId="0" xfId="0" applyFill="1" applyAlignment="1">
      <alignment horizontal="left"/>
    </xf>
    <xf numFmtId="0" fontId="0" fillId="4" borderId="0" xfId="0" applyNumberFormat="1" applyFill="1"/>
    <xf numFmtId="0" fontId="5" fillId="5" borderId="0" xfId="0" applyFont="1" applyFill="1"/>
    <xf numFmtId="0" fontId="0" fillId="5" borderId="0" xfId="0" applyFill="1"/>
    <xf numFmtId="0" fontId="6" fillId="5" borderId="0" xfId="0" applyFont="1" applyFill="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7" fillId="5" borderId="0" xfId="0" applyFont="1" applyFill="1"/>
    <xf numFmtId="0" fontId="4" fillId="4" borderId="3" xfId="0" applyFont="1" applyFill="1" applyBorder="1"/>
    <xf numFmtId="0" fontId="4" fillId="4" borderId="4" xfId="0" applyFont="1" applyFill="1" applyBorder="1" applyAlignment="1">
      <alignment horizontal="left"/>
    </xf>
    <xf numFmtId="0" fontId="4" fillId="4" borderId="4" xfId="0" applyNumberFormat="1" applyFont="1" applyFill="1" applyBorder="1"/>
  </cellXfs>
  <cellStyles count="1">
    <cellStyle name="Normal" xfId="0" builtinId="0"/>
  </cellStyles>
  <dxfs count="337">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color rgb="FF006100"/>
      </font>
      <fill>
        <patternFill>
          <bgColor rgb="FFC6EFCE"/>
        </patternFill>
      </fill>
    </dxf>
    <dxf>
      <font>
        <color rgb="FF9C0006"/>
      </font>
      <fill>
        <patternFill>
          <bgColor rgb="FFFFC7CE"/>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 Lab 1 24th uly Chart.xlsx]24th July !PivotTable4</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'24th July '!$B$19</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'24th July '!$A$20:$A$25</c:f>
              <c:strCache>
                <c:ptCount val="5"/>
                <c:pt idx="0">
                  <c:v>Pune</c:v>
                </c:pt>
                <c:pt idx="1">
                  <c:v>mumbai</c:v>
                </c:pt>
                <c:pt idx="2">
                  <c:v>Bangalore</c:v>
                </c:pt>
                <c:pt idx="3">
                  <c:v>Chennai</c:v>
                </c:pt>
                <c:pt idx="4">
                  <c:v>Hyderabad</c:v>
                </c:pt>
              </c:strCache>
            </c:strRef>
          </c:cat>
          <c:val>
            <c:numRef>
              <c:f>'24th July '!$B$20:$B$25</c:f>
              <c:numCache>
                <c:formatCode>General</c:formatCode>
                <c:ptCount val="5"/>
                <c:pt idx="0">
                  <c:v>865.71</c:v>
                </c:pt>
                <c:pt idx="1">
                  <c:v>288.14999999999998</c:v>
                </c:pt>
                <c:pt idx="2">
                  <c:v>1780.98</c:v>
                </c:pt>
                <c:pt idx="3">
                  <c:v>981.94</c:v>
                </c:pt>
                <c:pt idx="4">
                  <c:v>586.69000000000005</c:v>
                </c:pt>
              </c:numCache>
            </c:numRef>
          </c:val>
          <c:extLst>
            <c:ext xmlns:c16="http://schemas.microsoft.com/office/drawing/2014/chart" uri="{C3380CC4-5D6E-409C-BE32-E72D297353CC}">
              <c16:uniqueId val="{00000000-8AD8-42AB-80EB-971DE539791D}"/>
            </c:ext>
          </c:extLst>
        </c:ser>
        <c:dLbls>
          <c:dLblPos val="inEnd"/>
          <c:showLegendKey val="0"/>
          <c:showVal val="1"/>
          <c:showCatName val="0"/>
          <c:showSerName val="0"/>
          <c:showPercent val="0"/>
          <c:showBubbleSize val="0"/>
        </c:dLbls>
        <c:gapWidth val="65"/>
        <c:axId val="1730754639"/>
        <c:axId val="1730752239"/>
      </c:barChart>
      <c:catAx>
        <c:axId val="1730754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752239"/>
        <c:crosses val="autoZero"/>
        <c:auto val="1"/>
        <c:lblAlgn val="ctr"/>
        <c:lblOffset val="100"/>
        <c:noMultiLvlLbl val="0"/>
      </c:catAx>
      <c:valAx>
        <c:axId val="1730752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30754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 24th uly Chart.xlsx]24th July !PivotTable5</c:name>
    <c:fmtId val="2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'24th July '!$B$29</c:f>
              <c:strCache>
                <c:ptCount val="1"/>
                <c:pt idx="0">
                  <c:v>Total</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'24th July '!$A$30:$A$32</c:f>
              <c:strCache>
                <c:ptCount val="2"/>
                <c:pt idx="0">
                  <c:v>Apr</c:v>
                </c:pt>
                <c:pt idx="1">
                  <c:v>May</c:v>
                </c:pt>
              </c:strCache>
            </c:strRef>
          </c:cat>
          <c:val>
            <c:numRef>
              <c:f>'24th July '!$B$30:$B$32</c:f>
              <c:numCache>
                <c:formatCode>General</c:formatCode>
                <c:ptCount val="2"/>
                <c:pt idx="0">
                  <c:v>123.49</c:v>
                </c:pt>
                <c:pt idx="1">
                  <c:v>742.22</c:v>
                </c:pt>
              </c:numCache>
            </c:numRef>
          </c:val>
          <c:smooth val="0"/>
          <c:extLst>
            <c:ext xmlns:c16="http://schemas.microsoft.com/office/drawing/2014/chart" uri="{C3380CC4-5D6E-409C-BE32-E72D297353CC}">
              <c16:uniqueId val="{00000000-6D40-4CDF-9D52-AFDA444EAC83}"/>
            </c:ext>
          </c:extLst>
        </c:ser>
        <c:dLbls>
          <c:dLblPos val="ctr"/>
          <c:showLegendKey val="0"/>
          <c:showVal val="1"/>
          <c:showCatName val="0"/>
          <c:showSerName val="0"/>
          <c:showPercent val="0"/>
          <c:showBubbleSize val="0"/>
        </c:dLbls>
        <c:marker val="1"/>
        <c:smooth val="0"/>
        <c:axId val="1798928431"/>
        <c:axId val="1798940431"/>
      </c:lineChart>
      <c:catAx>
        <c:axId val="1798928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8940431"/>
        <c:crosses val="autoZero"/>
        <c:auto val="1"/>
        <c:lblAlgn val="ctr"/>
        <c:lblOffset val="100"/>
        <c:noMultiLvlLbl val="0"/>
      </c:catAx>
      <c:valAx>
        <c:axId val="17989404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98928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 24th uly Chart.xlsx]Sheet2!PivotTable1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7D-4BF7-9355-FA9B5D026A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7D-4BF7-9355-FA9B5D026A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7D-4BF7-9355-FA9B5D026A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07D-4BF7-9355-FA9B5D026A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07D-4BF7-9355-FA9B5D026A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07D-4BF7-9355-FA9B5D026AA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07D-4BF7-9355-FA9B5D026AA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07D-4BF7-9355-FA9B5D026A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Sheet2!$A$4:$A$12</c:f>
              <c:strCache>
                <c:ptCount val="8"/>
                <c:pt idx="0">
                  <c:v>Jan</c:v>
                </c:pt>
                <c:pt idx="1">
                  <c:v>Mar</c:v>
                </c:pt>
                <c:pt idx="2">
                  <c:v>Apr</c:v>
                </c:pt>
                <c:pt idx="3">
                  <c:v>May</c:v>
                </c:pt>
                <c:pt idx="4">
                  <c:v>Jul</c:v>
                </c:pt>
                <c:pt idx="5">
                  <c:v>Aug</c:v>
                </c:pt>
                <c:pt idx="6">
                  <c:v>Oct</c:v>
                </c:pt>
                <c:pt idx="7">
                  <c:v>Dec</c:v>
                </c:pt>
              </c:strCache>
            </c:strRef>
          </c:cat>
          <c:val>
            <c:numRef>
              <c:f>Sheet2!$B$4:$B$12</c:f>
              <c:numCache>
                <c:formatCode>General</c:formatCode>
                <c:ptCount val="8"/>
                <c:pt idx="0">
                  <c:v>0.28000000000000003</c:v>
                </c:pt>
                <c:pt idx="2">
                  <c:v>0.17</c:v>
                </c:pt>
                <c:pt idx="3">
                  <c:v>0.45</c:v>
                </c:pt>
                <c:pt idx="4">
                  <c:v>0.16</c:v>
                </c:pt>
                <c:pt idx="5">
                  <c:v>0.65</c:v>
                </c:pt>
                <c:pt idx="6">
                  <c:v>0.21</c:v>
                </c:pt>
                <c:pt idx="7">
                  <c:v>0.18</c:v>
                </c:pt>
              </c:numCache>
            </c:numRef>
          </c:val>
          <c:extLst>
            <c:ext xmlns:c16="http://schemas.microsoft.com/office/drawing/2014/chart" uri="{C3380CC4-5D6E-409C-BE32-E72D297353CC}">
              <c16:uniqueId val="{00000000-A542-4C28-89E2-E03496D560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 Lab 1 24th uly Chart.xlsx]24th July !PivotTable4</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35138705416116E-2"/>
          <c:y val="0.19761193940104566"/>
          <c:w val="0.85929834233072255"/>
          <c:h val="0.60010552804610762"/>
        </c:manualLayout>
      </c:layout>
      <c:barChart>
        <c:barDir val="col"/>
        <c:grouping val="clustered"/>
        <c:varyColors val="0"/>
        <c:ser>
          <c:idx val="0"/>
          <c:order val="0"/>
          <c:tx>
            <c:strRef>
              <c:f>'24th July '!$B$19</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'24th July '!$A$20:$A$25</c:f>
              <c:strCache>
                <c:ptCount val="5"/>
                <c:pt idx="0">
                  <c:v>Pune</c:v>
                </c:pt>
                <c:pt idx="1">
                  <c:v>mumbai</c:v>
                </c:pt>
                <c:pt idx="2">
                  <c:v>Bangalore</c:v>
                </c:pt>
                <c:pt idx="3">
                  <c:v>Chennai</c:v>
                </c:pt>
                <c:pt idx="4">
                  <c:v>Hyderabad</c:v>
                </c:pt>
              </c:strCache>
            </c:strRef>
          </c:cat>
          <c:val>
            <c:numRef>
              <c:f>'24th July '!$B$20:$B$25</c:f>
              <c:numCache>
                <c:formatCode>General</c:formatCode>
                <c:ptCount val="5"/>
                <c:pt idx="0">
                  <c:v>865.71</c:v>
                </c:pt>
                <c:pt idx="1">
                  <c:v>288.14999999999998</c:v>
                </c:pt>
                <c:pt idx="2">
                  <c:v>1780.98</c:v>
                </c:pt>
                <c:pt idx="3">
                  <c:v>981.94</c:v>
                </c:pt>
                <c:pt idx="4">
                  <c:v>586.69000000000005</c:v>
                </c:pt>
              </c:numCache>
            </c:numRef>
          </c:val>
          <c:extLst>
            <c:ext xmlns:c16="http://schemas.microsoft.com/office/drawing/2014/chart" uri="{C3380CC4-5D6E-409C-BE32-E72D297353CC}">
              <c16:uniqueId val="{00000000-6F80-40C4-BC49-0EB8FD4F44C3}"/>
            </c:ext>
          </c:extLst>
        </c:ser>
        <c:dLbls>
          <c:dLblPos val="inEnd"/>
          <c:showLegendKey val="0"/>
          <c:showVal val="1"/>
          <c:showCatName val="0"/>
          <c:showSerName val="0"/>
          <c:showPercent val="0"/>
          <c:showBubbleSize val="0"/>
        </c:dLbls>
        <c:gapWidth val="65"/>
        <c:axId val="1730754639"/>
        <c:axId val="1730752239"/>
      </c:barChart>
      <c:catAx>
        <c:axId val="1730754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752239"/>
        <c:crosses val="autoZero"/>
        <c:auto val="1"/>
        <c:lblAlgn val="ctr"/>
        <c:lblOffset val="100"/>
        <c:noMultiLvlLbl val="0"/>
      </c:catAx>
      <c:valAx>
        <c:axId val="1730752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307546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 24th uly Chart.xlsx]24th July !PivotTable5</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'24th July '!$B$29</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'24th July '!$A$30:$A$32</c:f>
              <c:strCache>
                <c:ptCount val="2"/>
                <c:pt idx="0">
                  <c:v>Apr</c:v>
                </c:pt>
                <c:pt idx="1">
                  <c:v>May</c:v>
                </c:pt>
              </c:strCache>
            </c:strRef>
          </c:cat>
          <c:val>
            <c:numRef>
              <c:f>'24th July '!$B$30:$B$32</c:f>
              <c:numCache>
                <c:formatCode>General</c:formatCode>
                <c:ptCount val="2"/>
                <c:pt idx="0">
                  <c:v>123.49</c:v>
                </c:pt>
                <c:pt idx="1">
                  <c:v>742.22</c:v>
                </c:pt>
              </c:numCache>
            </c:numRef>
          </c:val>
          <c:extLst>
            <c:ext xmlns:c16="http://schemas.microsoft.com/office/drawing/2014/chart" uri="{C3380CC4-5D6E-409C-BE32-E72D297353CC}">
              <c16:uniqueId val="{00000000-8DF2-4406-951D-FAEF1A61B0B9}"/>
            </c:ext>
          </c:extLst>
        </c:ser>
        <c:dLbls>
          <c:dLblPos val="ctr"/>
          <c:showLegendKey val="0"/>
          <c:showVal val="1"/>
          <c:showCatName val="0"/>
          <c:showSerName val="0"/>
          <c:showPercent val="0"/>
          <c:showBubbleSize val="0"/>
        </c:dLbls>
        <c:gapWidth val="150"/>
        <c:overlap val="100"/>
        <c:axId val="1798928431"/>
        <c:axId val="1798940431"/>
      </c:barChart>
      <c:catAx>
        <c:axId val="17989284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8940431"/>
        <c:crosses val="autoZero"/>
        <c:auto val="1"/>
        <c:lblAlgn val="ctr"/>
        <c:lblOffset val="100"/>
        <c:noMultiLvlLbl val="0"/>
      </c:catAx>
      <c:valAx>
        <c:axId val="179894043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98928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Lab 1 24th uly Chart.xlsx]24th July !PivotTable5</c:name>
    <c:fmtId val="3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'24th July '!$B$29</c:f>
              <c:strCache>
                <c:ptCount val="1"/>
                <c:pt idx="0">
                  <c:v>Total</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'24th July '!$A$30:$A$32</c:f>
              <c:strCache>
                <c:ptCount val="2"/>
                <c:pt idx="0">
                  <c:v>Apr</c:v>
                </c:pt>
                <c:pt idx="1">
                  <c:v>May</c:v>
                </c:pt>
              </c:strCache>
            </c:strRef>
          </c:cat>
          <c:val>
            <c:numRef>
              <c:f>'24th July '!$B$30:$B$32</c:f>
              <c:numCache>
                <c:formatCode>General</c:formatCode>
                <c:ptCount val="2"/>
                <c:pt idx="0">
                  <c:v>123.49</c:v>
                </c:pt>
                <c:pt idx="1">
                  <c:v>742.22</c:v>
                </c:pt>
              </c:numCache>
            </c:numRef>
          </c:val>
          <c:smooth val="0"/>
          <c:extLst>
            <c:ext xmlns:c16="http://schemas.microsoft.com/office/drawing/2014/chart" uri="{C3380CC4-5D6E-409C-BE32-E72D297353CC}">
              <c16:uniqueId val="{00000000-B335-49A2-8243-780C39F13AC7}"/>
            </c:ext>
          </c:extLst>
        </c:ser>
        <c:dLbls>
          <c:dLblPos val="ctr"/>
          <c:showLegendKey val="0"/>
          <c:showVal val="1"/>
          <c:showCatName val="0"/>
          <c:showSerName val="0"/>
          <c:showPercent val="0"/>
          <c:showBubbleSize val="0"/>
        </c:dLbls>
        <c:marker val="1"/>
        <c:smooth val="0"/>
        <c:axId val="1798928431"/>
        <c:axId val="1798940431"/>
      </c:lineChart>
      <c:catAx>
        <c:axId val="1798928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8940431"/>
        <c:crosses val="autoZero"/>
        <c:auto val="1"/>
        <c:lblAlgn val="ctr"/>
        <c:lblOffset val="100"/>
        <c:noMultiLvlLbl val="0"/>
      </c:catAx>
      <c:valAx>
        <c:axId val="17989404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98928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chart" Target="../charts/chart6.xml"/><Relationship Id="rId5" Type="http://schemas.openxmlformats.org/officeDocument/2006/relationships/image" Target="../media/image3.emf"/><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213360</xdr:colOff>
      <xdr:row>3</xdr:row>
      <xdr:rowOff>22860</xdr:rowOff>
    </xdr:from>
    <xdr:to>
      <xdr:col>17</xdr:col>
      <xdr:colOff>0</xdr:colOff>
      <xdr:row>5</xdr:row>
      <xdr:rowOff>68580</xdr:rowOff>
    </xdr:to>
    <xdr:sp macro="" textlink="">
      <xdr:nvSpPr>
        <xdr:cNvPr id="2" name="TextBox 1">
          <a:extLst>
            <a:ext uri="{FF2B5EF4-FFF2-40B4-BE49-F238E27FC236}">
              <a16:creationId xmlns:a16="http://schemas.microsoft.com/office/drawing/2014/main" id="{551B92AD-81D5-1962-DF74-2ADEB10CDFA1}"/>
            </a:ext>
          </a:extLst>
        </xdr:cNvPr>
        <xdr:cNvSpPr txBox="1"/>
      </xdr:nvSpPr>
      <xdr:spPr>
        <a:xfrm>
          <a:off x="5090160" y="571500"/>
          <a:ext cx="5273040" cy="4114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FF0000"/>
              </a:solidFill>
            </a:rPr>
            <a:t>Dmart Retail Business Dashboard</a:t>
          </a:r>
          <a:r>
            <a:rPr lang="en-IN" sz="2800" baseline="0">
              <a:solidFill>
                <a:srgbClr val="FF0000"/>
              </a:solidFill>
            </a:rPr>
            <a:t> </a:t>
          </a:r>
          <a:endParaRPr lang="en-IN" sz="2800">
            <a:solidFill>
              <a:srgbClr val="FF0000"/>
            </a:solidFill>
          </a:endParaRPr>
        </a:p>
      </xdr:txBody>
    </xdr:sp>
    <xdr:clientData/>
  </xdr:twoCellAnchor>
  <xdr:twoCellAnchor>
    <xdr:from>
      <xdr:col>4</xdr:col>
      <xdr:colOff>304800</xdr:colOff>
      <xdr:row>6</xdr:row>
      <xdr:rowOff>125730</xdr:rowOff>
    </xdr:from>
    <xdr:to>
      <xdr:col>12</xdr:col>
      <xdr:colOff>251460</xdr:colOff>
      <xdr:row>20</xdr:row>
      <xdr:rowOff>45720</xdr:rowOff>
    </xdr:to>
    <xdr:graphicFrame macro="">
      <xdr:nvGraphicFramePr>
        <xdr:cNvPr id="4" name="Chart 3">
          <a:extLst>
            <a:ext uri="{FF2B5EF4-FFF2-40B4-BE49-F238E27FC236}">
              <a16:creationId xmlns:a16="http://schemas.microsoft.com/office/drawing/2014/main" id="{E5311DCB-3EEA-FAE8-34E4-B6316613A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20</xdr:row>
      <xdr:rowOff>72390</xdr:rowOff>
    </xdr:from>
    <xdr:to>
      <xdr:col>14</xdr:col>
      <xdr:colOff>541020</xdr:colOff>
      <xdr:row>35</xdr:row>
      <xdr:rowOff>72390</xdr:rowOff>
    </xdr:to>
    <xdr:graphicFrame macro="">
      <xdr:nvGraphicFramePr>
        <xdr:cNvPr id="5" name="Chart 4">
          <a:extLst>
            <a:ext uri="{FF2B5EF4-FFF2-40B4-BE49-F238E27FC236}">
              <a16:creationId xmlns:a16="http://schemas.microsoft.com/office/drawing/2014/main" id="{ED38D32A-5FDD-864E-9EEB-D0CCF71EE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975360</xdr:colOff>
      <xdr:row>2</xdr:row>
      <xdr:rowOff>129540</xdr:rowOff>
    </xdr:from>
    <xdr:to>
      <xdr:col>11</xdr:col>
      <xdr:colOff>7620</xdr:colOff>
      <xdr:row>20</xdr:row>
      <xdr:rowOff>179070</xdr:rowOff>
    </xdr:to>
    <xdr:graphicFrame macro="">
      <xdr:nvGraphicFramePr>
        <xdr:cNvPr id="2" name="Chart 1">
          <a:extLst>
            <a:ext uri="{FF2B5EF4-FFF2-40B4-BE49-F238E27FC236}">
              <a16:creationId xmlns:a16="http://schemas.microsoft.com/office/drawing/2014/main" id="{B8F2145C-4F61-583D-6E31-4D2FDA46D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4</xdr:row>
      <xdr:rowOff>76200</xdr:rowOff>
    </xdr:from>
    <xdr:to>
      <xdr:col>14</xdr:col>
      <xdr:colOff>106680</xdr:colOff>
      <xdr:row>17</xdr:row>
      <xdr:rowOff>165735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82FFD7B-C3D8-6062-D042-D4CA534C53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874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266700</xdr:colOff>
      <xdr:row>2</xdr:row>
      <xdr:rowOff>22860</xdr:rowOff>
    </xdr:from>
    <xdr:ext cx="184731" cy="264560"/>
    <xdr:sp macro="" textlink="">
      <xdr:nvSpPr>
        <xdr:cNvPr id="4" name="TextBox 3">
          <a:extLst>
            <a:ext uri="{FF2B5EF4-FFF2-40B4-BE49-F238E27FC236}">
              <a16:creationId xmlns:a16="http://schemas.microsoft.com/office/drawing/2014/main" id="{EE50BBDD-4CF5-C98F-DA18-5E61BAC6FBA0}"/>
            </a:ext>
          </a:extLst>
        </xdr:cNvPr>
        <xdr:cNvSpPr txBox="1"/>
      </xdr:nvSpPr>
      <xdr:spPr>
        <a:xfrm>
          <a:off x="6080760" y="3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289559</xdr:colOff>
      <xdr:row>0</xdr:row>
      <xdr:rowOff>0</xdr:rowOff>
    </xdr:from>
    <xdr:to>
      <xdr:col>25</xdr:col>
      <xdr:colOff>347002</xdr:colOff>
      <xdr:row>49</xdr:row>
      <xdr:rowOff>56445</xdr:rowOff>
    </xdr:to>
    <xdr:pic>
      <xdr:nvPicPr>
        <xdr:cNvPr id="5" name="Picture 4" descr="Who Is Data Analyst: Role Skills Responsibilities Career">
          <a:extLst>
            <a:ext uri="{FF2B5EF4-FFF2-40B4-BE49-F238E27FC236}">
              <a16:creationId xmlns:a16="http://schemas.microsoft.com/office/drawing/2014/main" id="{BDD762AD-0D1F-9462-E063-3E7B92348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59" y="0"/>
          <a:ext cx="14687843" cy="9515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129540</xdr:colOff>
      <xdr:row>5</xdr:row>
      <xdr:rowOff>170168</xdr:rowOff>
    </xdr:from>
    <xdr:to>
      <xdr:col>5</xdr:col>
      <xdr:colOff>289560</xdr:colOff>
      <xdr:row>7</xdr:row>
      <xdr:rowOff>96533</xdr:rowOff>
    </xdr:to>
    <xdr:sp macro="" textlink="'24th July '!$C$8">
      <xdr:nvSpPr>
        <xdr:cNvPr id="2" name="TextBox 1">
          <a:extLst>
            <a:ext uri="{FF2B5EF4-FFF2-40B4-BE49-F238E27FC236}">
              <a16:creationId xmlns:a16="http://schemas.microsoft.com/office/drawing/2014/main" id="{9A5F120A-93F5-75BB-DC6E-77B63887410B}"/>
            </a:ext>
          </a:extLst>
        </xdr:cNvPr>
        <xdr:cNvSpPr txBox="1"/>
      </xdr:nvSpPr>
      <xdr:spPr>
        <a:xfrm>
          <a:off x="1958340" y="1366508"/>
          <a:ext cx="1379220" cy="505485"/>
        </a:xfrm>
        <a:prstGeom prst="rect">
          <a:avLst/>
        </a:prstGeom>
        <a:solidFill>
          <a:schemeClr val="accent5">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1600" b="0" i="0" u="none" strike="noStrike">
              <a:solidFill>
                <a:schemeClr val="accent1"/>
              </a:solidFill>
              <a:latin typeface="Calibri"/>
              <a:ea typeface="Calibri"/>
              <a:cs typeface="Calibri"/>
            </a:rPr>
            <a:t>Total Sales </a:t>
          </a:r>
          <a:fld id="{72CC9694-C2C7-4925-968D-69B983ECD642}" type="TxLink">
            <a:rPr lang="en-US" sz="1600" b="0" i="0" u="none" strike="noStrike">
              <a:solidFill>
                <a:schemeClr val="accent1"/>
              </a:solidFill>
              <a:latin typeface="Calibri"/>
              <a:ea typeface="Calibri"/>
              <a:cs typeface="Calibri"/>
            </a:rPr>
            <a:pPr marL="0" indent="0"/>
            <a:t>0.39</a:t>
          </a:fld>
          <a:endParaRPr lang="en-IN" sz="1100" b="0" i="0" u="none" strike="noStrike">
            <a:solidFill>
              <a:schemeClr val="accent1"/>
            </a:solidFill>
            <a:latin typeface="Calibri"/>
            <a:ea typeface="Calibri"/>
            <a:cs typeface="Calibri"/>
          </a:endParaRPr>
        </a:p>
      </xdr:txBody>
    </xdr:sp>
    <xdr:clientData/>
  </xdr:twoCellAnchor>
  <xdr:twoCellAnchor>
    <xdr:from>
      <xdr:col>1</xdr:col>
      <xdr:colOff>563880</xdr:colOff>
      <xdr:row>9</xdr:row>
      <xdr:rowOff>73660</xdr:rowOff>
    </xdr:from>
    <xdr:to>
      <xdr:col>10</xdr:col>
      <xdr:colOff>457200</xdr:colOff>
      <xdr:row>25</xdr:row>
      <xdr:rowOff>149860</xdr:rowOff>
    </xdr:to>
    <xdr:graphicFrame macro="">
      <xdr:nvGraphicFramePr>
        <xdr:cNvPr id="4" name="Chart 3">
          <a:extLst>
            <a:ext uri="{FF2B5EF4-FFF2-40B4-BE49-F238E27FC236}">
              <a16:creationId xmlns:a16="http://schemas.microsoft.com/office/drawing/2014/main" id="{DC9FE419-5101-4DA0-ACA4-A16BD2B4C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6</xdr:row>
      <xdr:rowOff>0</xdr:rowOff>
    </xdr:from>
    <xdr:to>
      <xdr:col>11</xdr:col>
      <xdr:colOff>7620</xdr:colOff>
      <xdr:row>7</xdr:row>
      <xdr:rowOff>7620</xdr:rowOff>
    </xdr:to>
    <xdr:pic>
      <xdr:nvPicPr>
        <xdr:cNvPr id="6" name="Picture 5">
          <a:extLst>
            <a:ext uri="{FF2B5EF4-FFF2-40B4-BE49-F238E27FC236}">
              <a16:creationId xmlns:a16="http://schemas.microsoft.com/office/drawing/2014/main" id="{CC8E42B6-224E-4736-D865-F7DE96E3413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76800" y="1379220"/>
          <a:ext cx="1836420"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365760</xdr:colOff>
      <xdr:row>8</xdr:row>
      <xdr:rowOff>27940</xdr:rowOff>
    </xdr:from>
    <xdr:to>
      <xdr:col>20</xdr:col>
      <xdr:colOff>111760</xdr:colOff>
      <xdr:row>24</xdr:row>
      <xdr:rowOff>20320</xdr:rowOff>
    </xdr:to>
    <xdr:graphicFrame macro="">
      <xdr:nvGraphicFramePr>
        <xdr:cNvPr id="7" name="Chart 6">
          <a:extLst>
            <a:ext uri="{FF2B5EF4-FFF2-40B4-BE49-F238E27FC236}">
              <a16:creationId xmlns:a16="http://schemas.microsoft.com/office/drawing/2014/main" id="{9BC5BE5A-638E-4988-B97F-796ECFE39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1</xdr:row>
      <xdr:rowOff>0</xdr:rowOff>
    </xdr:from>
    <xdr:to>
      <xdr:col>18</xdr:col>
      <xdr:colOff>7620</xdr:colOff>
      <xdr:row>2</xdr:row>
      <xdr:rowOff>7620</xdr:rowOff>
    </xdr:to>
    <xdr:pic>
      <xdr:nvPicPr>
        <xdr:cNvPr id="8" name="Picture 7">
          <a:extLst>
            <a:ext uri="{FF2B5EF4-FFF2-40B4-BE49-F238E27FC236}">
              <a16:creationId xmlns:a16="http://schemas.microsoft.com/office/drawing/2014/main" id="{FF393A4E-CCC7-CD1F-E232-1FFCE7D4CD1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76800" y="182880"/>
          <a:ext cx="6103620" cy="472440"/>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436880</xdr:colOff>
      <xdr:row>25</xdr:row>
      <xdr:rowOff>157784</xdr:rowOff>
    </xdr:from>
    <xdr:to>
      <xdr:col>19</xdr:col>
      <xdr:colOff>523240</xdr:colOff>
      <xdr:row>48</xdr:row>
      <xdr:rowOff>132080</xdr:rowOff>
    </xdr:to>
    <xdr:graphicFrame macro="">
      <xdr:nvGraphicFramePr>
        <xdr:cNvPr id="9" name="Chart 8">
          <a:extLst>
            <a:ext uri="{FF2B5EF4-FFF2-40B4-BE49-F238E27FC236}">
              <a16:creationId xmlns:a16="http://schemas.microsoft.com/office/drawing/2014/main" id="{3AE46808-ED83-4267-8057-8789D0E8F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541020</xdr:colOff>
      <xdr:row>2</xdr:row>
      <xdr:rowOff>144780</xdr:rowOff>
    </xdr:from>
    <xdr:to>
      <xdr:col>23</xdr:col>
      <xdr:colOff>541020</xdr:colOff>
      <xdr:row>15</xdr:row>
      <xdr:rowOff>20955</xdr:rowOff>
    </xdr:to>
    <mc:AlternateContent xmlns:mc="http://schemas.openxmlformats.org/markup-compatibility/2006">
      <mc:Choice xmlns:a14="http://schemas.microsoft.com/office/drawing/2010/main" Requires="a14">
        <xdr:graphicFrame macro="">
          <xdr:nvGraphicFramePr>
            <xdr:cNvPr id="18" name="discount">
              <a:extLst>
                <a:ext uri="{FF2B5EF4-FFF2-40B4-BE49-F238E27FC236}">
                  <a16:creationId xmlns:a16="http://schemas.microsoft.com/office/drawing/2014/main" id="{5403BCD8-B492-6B8C-9941-F543DBEEC925}"/>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12733020" y="795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116840</xdr:colOff>
      <xdr:row>30</xdr:row>
      <xdr:rowOff>45720</xdr:rowOff>
    </xdr:from>
    <xdr:to>
      <xdr:col>8</xdr:col>
      <xdr:colOff>116840</xdr:colOff>
      <xdr:row>43</xdr:row>
      <xdr:rowOff>135255</xdr:rowOff>
    </xdr:to>
    <mc:AlternateContent xmlns:mc="http://schemas.openxmlformats.org/markup-compatibility/2006">
      <mc:Choice xmlns:a14="http://schemas.microsoft.com/office/drawing/2010/main" Requires="a14">
        <xdr:graphicFrame macro="">
          <xdr:nvGraphicFramePr>
            <xdr:cNvPr id="19" name="order_date">
              <a:extLst>
                <a:ext uri="{FF2B5EF4-FFF2-40B4-BE49-F238E27FC236}">
                  <a16:creationId xmlns:a16="http://schemas.microsoft.com/office/drawing/2014/main" id="{347A61C6-1C22-BBC6-2961-8A1317BE7672}"/>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3164840" y="6029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403860</xdr:colOff>
      <xdr:row>34</xdr:row>
      <xdr:rowOff>27940</xdr:rowOff>
    </xdr:from>
    <xdr:to>
      <xdr:col>24</xdr:col>
      <xdr:colOff>403860</xdr:colOff>
      <xdr:row>47</xdr:row>
      <xdr:rowOff>117475</xdr:rowOff>
    </xdr:to>
    <mc:AlternateContent xmlns:mc="http://schemas.openxmlformats.org/markup-compatibility/2006">
      <mc:Choice xmlns:a14="http://schemas.microsoft.com/office/drawing/2010/main" Requires="a14">
        <xdr:graphicFrame macro="">
          <xdr:nvGraphicFramePr>
            <xdr:cNvPr id="20" name="payment_mode">
              <a:extLst>
                <a:ext uri="{FF2B5EF4-FFF2-40B4-BE49-F238E27FC236}">
                  <a16:creationId xmlns:a16="http://schemas.microsoft.com/office/drawing/2014/main" id="{BAB6334A-AFB4-9A72-2155-10B5C4179BF8}"/>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3205460" y="6743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467360</xdr:colOff>
      <xdr:row>18</xdr:row>
      <xdr:rowOff>91440</xdr:rowOff>
    </xdr:from>
    <xdr:to>
      <xdr:col>23</xdr:col>
      <xdr:colOff>467360</xdr:colOff>
      <xdr:row>31</xdr:row>
      <xdr:rowOff>180975</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AE7F56D5-DFAD-64ED-6E1A-8715066CA8D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659360" y="3881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Raje" refreshedDate="46227.352735416665" createdVersion="8" refreshedVersion="8" minRefreshableVersion="3" recordCount="4" xr:uid="{211A72AB-5294-4F43-893C-615F32553B1D}">
  <cacheSource type="worksheet">
    <worksheetSource ref="A29:B33" sheet="24th July "/>
  </cacheSource>
  <cacheFields count="2">
    <cacheField name="Row Labels" numFmtId="0">
      <sharedItems/>
    </cacheField>
    <cacheField name="Sum of profit" numFmtId="0">
      <sharedItems containsSemiMixedTypes="0" containsString="0" containsNumber="1" minValue="123.49" maxValue="833.900000000000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Raje" refreshedDate="46227.352735532404" createdVersion="8" refreshedVersion="8" minRefreshableVersion="3" recordCount="6" xr:uid="{BC3542CD-44D9-4B7D-A83D-A5906C107C92}">
  <cacheSource type="worksheet">
    <worksheetSource ref="A29:B35" sheet="24th July "/>
  </cacheSource>
  <cacheFields count="2">
    <cacheField name="Row Labels" numFmtId="0">
      <sharedItems/>
    </cacheField>
    <cacheField name="Sum of profit" numFmtId="0">
      <sharedItems containsSemiMixedTypes="0" containsString="0" containsNumber="1" minValue="110.31" maxValue="1617.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Raje" refreshedDate="46227.352735763889" createdVersion="8" refreshedVersion="8" minRefreshableVersion="3" recordCount="40" xr:uid="{54D0CA0F-9A14-4C10-A7B7-8B85E1C0FCEC}">
  <cacheSource type="worksheet">
    <worksheetSource ref="A1:K1048576" sheet="Sheet1"/>
  </cacheSource>
  <cacheFields count="14">
    <cacheField name="discount" numFmtId="0">
      <sharedItems containsString="0" containsBlank="1" containsNumber="1" minValue="0" maxValue="0.48" count="31">
        <n v="0.31"/>
        <n v="0.38"/>
        <m/>
        <n v="0.27"/>
        <n v="0"/>
        <n v="0.02"/>
        <n v="0.16"/>
        <n v="0.23"/>
        <n v="0.28999999999999998"/>
        <n v="0.44"/>
        <n v="0.39"/>
        <n v="0.15"/>
        <n v="0.37"/>
        <n v="0.21"/>
        <n v="7.0000000000000001E-3"/>
        <n v="0.28000000000000003"/>
        <n v="0.48"/>
        <n v="8.0000000000000002E-3"/>
        <n v="0.33"/>
        <n v="0.24"/>
        <n v="0.19"/>
        <n v="0.4"/>
        <n v="0.41"/>
        <n v="0.36"/>
        <n v="0.04"/>
        <n v="0.17"/>
        <n v="0.32"/>
        <n v="0.26"/>
        <n v="0.35"/>
        <n v="0.18"/>
        <n v="0.22"/>
      </sharedItems>
    </cacheField>
    <cacheField name="region" numFmtId="0">
      <sharedItems containsBlank="1" count="5">
        <s v="East"/>
        <s v="West"/>
        <s v="North"/>
        <s v="South"/>
        <m/>
      </sharedItems>
    </cacheField>
    <cacheField name="sales" numFmtId="0">
      <sharedItems containsString="0" containsBlank="1" containsNumber="1" minValue="398" maxValue="4997.47"/>
    </cacheField>
    <cacheField name="quantity" numFmtId="0">
      <sharedItems containsString="0" containsBlank="1" containsNumber="1" containsInteger="1" minValue="1" maxValue="9"/>
    </cacheField>
    <cacheField name="order_date" numFmtId="0">
      <sharedItems containsNonDate="0" containsDate="1" containsString="0" containsBlank="1" minDate="2023-01-07T00:00:00" maxDate="2025-01-01T00:00:00" count="39">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m/>
      </sharedItems>
      <fieldGroup par="13"/>
    </cacheField>
    <cacheField name="delivery_date" numFmtId="0">
      <sharedItems containsNonDate="0" containsDate="1" containsString="0" containsBlank="1" minDate="2023-01-13T00:00:00" maxDate="2025-01-03T00:00:00"/>
    </cacheField>
    <cacheField name="customer_type" numFmtId="0">
      <sharedItems containsBlank="1"/>
    </cacheField>
    <cacheField name="payment_mode" numFmtId="0">
      <sharedItems containsBlank="1" count="4">
        <s v="UPI"/>
        <s v="Card"/>
        <s v="Cash"/>
        <m/>
      </sharedItems>
    </cacheField>
    <cacheField name="profit" numFmtId="0">
      <sharedItems containsString="0" containsBlank="1" containsNumber="1" minValue="43.58" maxValue="1072.26"/>
    </cacheField>
    <cacheField name="Update_city" numFmtId="0">
      <sharedItems containsBlank="1"/>
    </cacheField>
    <cacheField name="city" numFmtId="0">
      <sharedItems containsBlank="1" count="7">
        <s v="Pune"/>
        <s v="Hyderabad"/>
        <s v="Bangalore"/>
        <s v="mumbai"/>
        <s v="Delhi"/>
        <s v="Chennai"/>
        <m/>
      </sharedItems>
    </cacheField>
    <cacheField name="Months (order_date)" numFmtId="0" databaseField="0">
      <fieldGroup base="4">
        <rangePr groupBy="months" startDate="2023-01-07T00:00:00" endDate="2025-01-01T00:00:00"/>
        <groupItems count="14">
          <s v="&lt;07-01-2023"/>
          <s v="Jan"/>
          <s v="Feb"/>
          <s v="Mar"/>
          <s v="Apr"/>
          <s v="May"/>
          <s v="Jun"/>
          <s v="Jul"/>
          <s v="Aug"/>
          <s v="Sep"/>
          <s v="Oct"/>
          <s v="Nov"/>
          <s v="Dec"/>
          <s v="&gt;01-01-2025"/>
        </groupItems>
      </fieldGroup>
    </cacheField>
    <cacheField name="Quarters (order_date)" numFmtId="0" databaseField="0">
      <fieldGroup base="4">
        <rangePr groupBy="quarters" startDate="2023-01-07T00:00:00" endDate="2025-01-01T00:00:00"/>
        <groupItems count="6">
          <s v="&lt;07-01-2023"/>
          <s v="Qtr1"/>
          <s v="Qtr2"/>
          <s v="Qtr3"/>
          <s v="Qtr4"/>
          <s v="&gt;01-01-2025"/>
        </groupItems>
      </fieldGroup>
    </cacheField>
    <cacheField name="Years (order_date)" numFmtId="0" databaseField="0">
      <fieldGroup base="4">
        <rangePr groupBy="years" startDate="2023-01-07T00:00:00" endDate="2025-01-01T00:00:00"/>
        <groupItems count="5">
          <s v="&lt;07-01-2023"/>
          <s v="2023"/>
          <s v="2024"/>
          <s v="2025"/>
          <s v="&gt;01-01-2025"/>
        </groupItems>
      </fieldGroup>
    </cacheField>
  </cacheFields>
  <extLst>
    <ext xmlns:x14="http://schemas.microsoft.com/office/spreadsheetml/2009/9/main" uri="{725AE2AE-9491-48be-B2B4-4EB974FC3084}">
      <x14:pivotCacheDefinition pivotCacheId="768464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Jan"/>
    <n v="177.84"/>
  </r>
  <r>
    <s v="Mar"/>
    <n v="769.08"/>
  </r>
  <r>
    <s v="Apr"/>
    <n v="123.49"/>
  </r>
  <r>
    <s v="May"/>
    <n v="833.900000000000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Jan"/>
    <n v="177.84"/>
  </r>
  <r>
    <s v="Mar"/>
    <n v="769.08"/>
  </r>
  <r>
    <s v="Apr"/>
    <n v="123.49"/>
  </r>
  <r>
    <s v="May"/>
    <n v="833.90000000000009"/>
  </r>
  <r>
    <s v="Jul"/>
    <n v="110.31"/>
  </r>
  <r>
    <s v="Aug"/>
    <n v="1617.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713.49"/>
    <n v="3"/>
    <x v="0"/>
    <d v="2023-04-01T00:00:00"/>
    <s v="Member"/>
    <x v="0"/>
    <n v="114.72"/>
    <s v="Pune"/>
    <x v="0"/>
  </r>
  <r>
    <x v="1"/>
    <x v="1"/>
    <n v="3802.97"/>
    <n v="4"/>
    <x v="1"/>
    <d v="2023-09-03T00:00:00"/>
    <s v="Regular"/>
    <x v="1"/>
    <n v="971.41"/>
    <s v="Hyderabad"/>
    <x v="1"/>
  </r>
  <r>
    <x v="2"/>
    <x v="2"/>
    <n v="3588.97"/>
    <n v="7"/>
    <x v="2"/>
    <d v="2024-03-15T00:00:00"/>
    <s v="Regular"/>
    <x v="2"/>
    <n v="769.08"/>
    <s v="Bangalore"/>
    <x v="2"/>
  </r>
  <r>
    <x v="3"/>
    <x v="0"/>
    <n v="1160.8599999999999"/>
    <n v="5"/>
    <x v="3"/>
    <d v="2024-10-19T00:00:00"/>
    <s v="Member"/>
    <x v="0"/>
    <n v="71.61"/>
    <s v="Mumbai"/>
    <x v="0"/>
  </r>
  <r>
    <x v="4"/>
    <x v="0"/>
    <n v="3071.32"/>
    <n v="7"/>
    <x v="4"/>
    <d v="2023-04-09T00:00:00"/>
    <s v="New"/>
    <x v="2"/>
    <n v="621.91999999999996"/>
    <s v="Chennai"/>
    <x v="2"/>
  </r>
  <r>
    <x v="5"/>
    <x v="1"/>
    <n v="2566.1799999999998"/>
    <n v="6"/>
    <x v="5"/>
    <d v="2023-07-04T00:00:00"/>
    <s v="Member"/>
    <x v="0"/>
    <n v="578.94000000000005"/>
    <s v="Delhi "/>
    <x v="3"/>
  </r>
  <r>
    <x v="6"/>
    <x v="2"/>
    <n v="398"/>
    <n v="4"/>
    <x v="6"/>
    <d v="2023-07-17T00:00:00"/>
    <s v="New"/>
    <x v="2"/>
    <n v="110.31"/>
    <s v="Banglore"/>
    <x v="3"/>
  </r>
  <r>
    <x v="7"/>
    <x v="2"/>
    <n v="1462.95"/>
    <n v="2"/>
    <x v="7"/>
    <d v="2023-05-20T00:00:00"/>
    <s v="Regular"/>
    <x v="0"/>
    <n v="91.68"/>
    <s v="Pune"/>
    <x v="2"/>
  </r>
  <r>
    <x v="8"/>
    <x v="0"/>
    <n v="4997.47"/>
    <n v="6"/>
    <x v="8"/>
    <d v="2024-01-08T00:00:00"/>
    <s v="Regular"/>
    <x v="1"/>
    <n v="995.78"/>
    <s v="Banglore"/>
    <x v="4"/>
  </r>
  <r>
    <x v="9"/>
    <x v="3"/>
    <n v="587.72"/>
    <n v="6"/>
    <x v="9"/>
    <d v="2024-08-17T00:00:00"/>
    <s v="New"/>
    <x v="2"/>
    <n v="102.96"/>
    <s v="Pune"/>
    <x v="0"/>
  </r>
  <r>
    <x v="10"/>
    <x v="0"/>
    <n v="2581.42"/>
    <n v="6"/>
    <x v="10"/>
    <d v="2024-05-08T00:00:00"/>
    <s v="Regular"/>
    <x v="2"/>
    <n v="542.82000000000005"/>
    <s v="Bangalore"/>
    <x v="2"/>
  </r>
  <r>
    <x v="11"/>
    <x v="0"/>
    <n v="4261.74"/>
    <n v="1"/>
    <x v="11"/>
    <d v="2023-09-03T00:00:00"/>
    <s v="New"/>
    <x v="0"/>
    <n v="1028.47"/>
    <s v="Pune"/>
    <x v="0"/>
  </r>
  <r>
    <x v="12"/>
    <x v="0"/>
    <n v="1573.19"/>
    <n v="6"/>
    <x v="12"/>
    <d v="2024-02-16T00:00:00"/>
    <s v="New"/>
    <x v="2"/>
    <n v="131.5"/>
    <s v="Bangalore"/>
    <x v="2"/>
  </r>
  <r>
    <x v="3"/>
    <x v="0"/>
    <n v="1377.47"/>
    <n v="2"/>
    <x v="13"/>
    <d v="2023-05-29T00:00:00"/>
    <s v="Member"/>
    <x v="2"/>
    <n v="255.49"/>
    <s v="delhi"/>
    <x v="4"/>
  </r>
  <r>
    <x v="10"/>
    <x v="1"/>
    <n v="4464.8900000000003"/>
    <n v="5"/>
    <x v="8"/>
    <d v="2024-01-12T00:00:00"/>
    <s v="Regular"/>
    <x v="0"/>
    <n v="804.36"/>
    <s v="Pune"/>
    <x v="0"/>
  </r>
  <r>
    <x v="13"/>
    <x v="2"/>
    <n v="1593.67"/>
    <n v="7"/>
    <x v="14"/>
    <d v="2024-10-22T00:00:00"/>
    <s v="Member"/>
    <x v="1"/>
    <n v="284.91000000000003"/>
    <s v="Chennai"/>
    <x v="5"/>
  </r>
  <r>
    <x v="14"/>
    <x v="1"/>
    <n v="3292.32"/>
    <n v="1"/>
    <x v="15"/>
    <d v="2023-04-27T00:00:00"/>
    <s v="Member"/>
    <x v="1"/>
    <n v="504.83"/>
    <s v="Mumbai"/>
    <x v="3"/>
  </r>
  <r>
    <x v="0"/>
    <x v="1"/>
    <n v="3727.53"/>
    <n v="5"/>
    <x v="16"/>
    <d v="2023-11-05T00:00:00"/>
    <s v="Regular"/>
    <x v="1"/>
    <n v="978.07"/>
    <s v="Chennai"/>
    <x v="5"/>
  </r>
  <r>
    <x v="15"/>
    <x v="1"/>
    <n v="3964.23"/>
    <n v="9"/>
    <x v="17"/>
    <d v="2024-06-08T00:00:00"/>
    <s v="Member"/>
    <x v="0"/>
    <n v="260.95"/>
    <s v="Bangalore"/>
    <x v="2"/>
  </r>
  <r>
    <x v="16"/>
    <x v="0"/>
    <n v="4974.32"/>
    <n v="3"/>
    <x v="18"/>
    <d v="2023-05-05T00:00:00"/>
    <s v="Regular"/>
    <x v="1"/>
    <n v="727.29"/>
    <s v="delhi"/>
    <x v="4"/>
  </r>
  <r>
    <x v="17"/>
    <x v="3"/>
    <n v="4035.64"/>
    <n v="2"/>
    <x v="19"/>
    <d v="2024-10-28T00:00:00"/>
    <s v="Regular"/>
    <x v="2"/>
    <n v="798.81"/>
    <s v="delhi"/>
    <x v="4"/>
  </r>
  <r>
    <x v="18"/>
    <x v="2"/>
    <n v="3319.36"/>
    <n v="2"/>
    <x v="20"/>
    <d v="2023-08-21T00:00:00"/>
    <s v="Member"/>
    <x v="2"/>
    <n v="920.22"/>
    <s v="Bangalore"/>
    <x v="2"/>
  </r>
  <r>
    <x v="19"/>
    <x v="3"/>
    <n v="4487.7700000000004"/>
    <n v="3"/>
    <x v="21"/>
    <d v="2025-01-02T00:00:00"/>
    <s v="Regular"/>
    <x v="1"/>
    <n v="931.37"/>
    <s v="Pune"/>
    <x v="0"/>
  </r>
  <r>
    <x v="20"/>
    <x v="1"/>
    <n v="4538.1499999999996"/>
    <n v="1"/>
    <x v="22"/>
    <d v="2023-03-23T00:00:00"/>
    <s v="Regular"/>
    <x v="2"/>
    <n v="375.7"/>
    <s v="delhi"/>
    <x v="4"/>
  </r>
  <r>
    <x v="21"/>
    <x v="1"/>
    <n v="4868.5200000000004"/>
    <n v="2"/>
    <x v="23"/>
    <d v="2023-12-13T00:00:00"/>
    <s v="Regular"/>
    <x v="2"/>
    <n v="1072.26"/>
    <s v="Mumbai"/>
    <x v="3"/>
  </r>
  <r>
    <x v="22"/>
    <x v="3"/>
    <n v="3904.68"/>
    <n v="6"/>
    <x v="24"/>
    <d v="2023-05-26T00:00:00"/>
    <s v="Regular"/>
    <x v="1"/>
    <n v="526.66"/>
    <s v="Hyderabad"/>
    <x v="1"/>
  </r>
  <r>
    <x v="23"/>
    <x v="3"/>
    <n v="1055.1400000000001"/>
    <n v="8"/>
    <x v="25"/>
    <d v="2024-06-25T00:00:00"/>
    <s v="Member"/>
    <x v="0"/>
    <n v="207.61"/>
    <s v="Chennai"/>
    <x v="5"/>
  </r>
  <r>
    <x v="24"/>
    <x v="3"/>
    <n v="3578.05"/>
    <n v="4"/>
    <x v="26"/>
    <d v="2023-10-18T00:00:00"/>
    <s v="New"/>
    <x v="1"/>
    <n v="689.74"/>
    <s v="Mumbai"/>
    <x v="3"/>
  </r>
  <r>
    <x v="25"/>
    <x v="1"/>
    <n v="468.13"/>
    <n v="2"/>
    <x v="27"/>
    <d v="2023-12-01T00:00:00"/>
    <s v="Member"/>
    <x v="0"/>
    <n v="43.58"/>
    <s v="Hyderabad"/>
    <x v="1"/>
  </r>
  <r>
    <x v="5"/>
    <x v="1"/>
    <n v="1658.02"/>
    <n v="5"/>
    <x v="28"/>
    <d v="2024-03-06T00:00:00"/>
    <s v="New"/>
    <x v="2"/>
    <n v="422.33"/>
    <s v="delhi"/>
    <x v="4"/>
  </r>
  <r>
    <x v="25"/>
    <x v="2"/>
    <n v="667.46"/>
    <n v="3"/>
    <x v="29"/>
    <d v="2023-04-15T00:00:00"/>
    <s v="New"/>
    <x v="1"/>
    <n v="123.49"/>
    <s v="Pune"/>
    <x v="0"/>
  </r>
  <r>
    <x v="26"/>
    <x v="2"/>
    <n v="4754.72"/>
    <n v="5"/>
    <x v="30"/>
    <d v="2024-08-27T00:00:00"/>
    <s v="New"/>
    <x v="2"/>
    <n v="697.03"/>
    <s v="Chennai"/>
    <x v="5"/>
  </r>
  <r>
    <x v="27"/>
    <x v="1"/>
    <n v="1759.9"/>
    <n v="3"/>
    <x v="31"/>
    <d v="2023-01-13T00:00:00"/>
    <s v="Regular"/>
    <x v="2"/>
    <n v="178.58"/>
    <s v="delhi"/>
    <x v="4"/>
  </r>
  <r>
    <x v="28"/>
    <x v="3"/>
    <n v="3594.76"/>
    <n v="4"/>
    <x v="32"/>
    <d v="2023-06-22T00:00:00"/>
    <s v="New"/>
    <x v="0"/>
    <n v="1002.97"/>
    <s v="delhi"/>
    <x v="4"/>
  </r>
  <r>
    <x v="15"/>
    <x v="3"/>
    <n v="2899.46"/>
    <n v="5"/>
    <x v="33"/>
    <d v="2023-09-21T00:00:00"/>
    <s v="Regular"/>
    <x v="2"/>
    <n v="320.43"/>
    <s v="Bangalore"/>
    <x v="2"/>
  </r>
  <r>
    <x v="15"/>
    <x v="2"/>
    <n v="626.80999999999995"/>
    <n v="7"/>
    <x v="34"/>
    <d v="2024-01-12T00:00:00"/>
    <s v="Regular"/>
    <x v="0"/>
    <n v="177.84"/>
    <s v="Mumbai"/>
    <x v="3"/>
  </r>
  <r>
    <x v="27"/>
    <x v="1"/>
    <n v="2850.59"/>
    <n v="2"/>
    <x v="35"/>
    <d v="2024-07-01T00:00:00"/>
    <s v="Regular"/>
    <x v="1"/>
    <n v="528.38"/>
    <s v="Chennai"/>
    <x v="5"/>
  </r>
  <r>
    <x v="29"/>
    <x v="2"/>
    <n v="3339.02"/>
    <n v="6"/>
    <x v="36"/>
    <d v="2024-12-26T00:00:00"/>
    <s v="Member"/>
    <x v="2"/>
    <n v="586.69000000000005"/>
    <s v="Hyderabad"/>
    <x v="1"/>
  </r>
  <r>
    <x v="30"/>
    <x v="2"/>
    <n v="4419.43"/>
    <n v="6"/>
    <x v="37"/>
    <d v="2024-05-14T00:00:00"/>
    <s v="New"/>
    <x v="0"/>
    <n v="742.22"/>
    <s v="Pune"/>
    <x v="0"/>
  </r>
  <r>
    <x v="2"/>
    <x v="4"/>
    <m/>
    <m/>
    <x v="38"/>
    <m/>
    <m/>
    <x v="3"/>
    <m/>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C77D99-D412-4C4B-A320-E187C18673C0}"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L4" firstHeaderRow="1" firstDataRow="1" firstDataCol="1"/>
  <pivotFields count="14">
    <pivotField showAll="0">
      <items count="32">
        <item x="4"/>
        <item x="14"/>
        <item x="17"/>
        <item x="5"/>
        <item x="24"/>
        <item x="11"/>
        <item x="6"/>
        <item x="25"/>
        <item x="29"/>
        <item x="20"/>
        <item x="13"/>
        <item x="30"/>
        <item x="7"/>
        <item x="19"/>
        <item x="27"/>
        <item x="3"/>
        <item x="15"/>
        <item x="8"/>
        <item x="0"/>
        <item x="26"/>
        <item x="18"/>
        <item x="28"/>
        <item x="23"/>
        <item x="12"/>
        <item x="1"/>
        <item x="10"/>
        <item x="21"/>
        <item x="22"/>
        <item x="9"/>
        <item x="16"/>
        <item x="2"/>
        <item t="default"/>
      </items>
    </pivotField>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items count="5">
        <item x="1"/>
        <item x="2"/>
        <item x="0"/>
        <item x="3"/>
        <item t="default"/>
      </items>
    </pivotField>
    <pivotField showAll="0"/>
    <pivotField showAll="0"/>
    <pivotField showAll="0">
      <items count="8">
        <item x="0"/>
        <item h="1" x="3"/>
        <item h="1" x="2"/>
        <item h="1" x="5"/>
        <item h="1" x="4"/>
        <item h="1" x="1"/>
        <item h="1"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ataField="1" showAll="0">
      <items count="6">
        <item x="0"/>
        <item x="1"/>
        <item x="2"/>
        <item x="3"/>
        <item x="4"/>
        <item t="default"/>
      </items>
    </pivotField>
  </pivotFields>
  <rowFields count="1">
    <field x="11"/>
  </rowFields>
  <rowItems count="3">
    <i>
      <x v="4"/>
    </i>
    <i>
      <x v="5"/>
    </i>
    <i t="grand">
      <x/>
    </i>
  </rowItems>
  <colItems count="1">
    <i/>
  </colItems>
  <dataFields count="1">
    <dataField name="Count of Years (order_date)" fld="13" subtotal="count" baseField="0" baseItem="0"/>
  </dataFields>
  <formats count="5">
    <format dxfId="211">
      <pivotArea type="all" dataOnly="0" outline="0" fieldPosition="0"/>
    </format>
    <format dxfId="212">
      <pivotArea outline="0" collapsedLevelsAreSubtotals="1" fieldPosition="0"/>
    </format>
    <format dxfId="213">
      <pivotArea field="11" type="button" dataOnly="0" labelOnly="1" outline="0" axis="axisRow" fieldPosition="0"/>
    </format>
    <format dxfId="214">
      <pivotArea dataOnly="0" labelOnly="1" grandRow="1" outline="0" fieldPosition="0"/>
    </format>
    <format dxfId="2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0D448-BE10-4B81-AD75-C9753F856A50}" name="PivotTable1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52:H55" firstHeaderRow="1" firstDataRow="1" firstDataCol="1"/>
  <pivotFields count="14">
    <pivotField showAll="0">
      <items count="32">
        <item x="4"/>
        <item x="14"/>
        <item x="17"/>
        <item x="5"/>
        <item x="24"/>
        <item x="11"/>
        <item x="6"/>
        <item x="25"/>
        <item x="29"/>
        <item x="20"/>
        <item x="13"/>
        <item x="30"/>
        <item x="7"/>
        <item x="19"/>
        <item x="27"/>
        <item x="3"/>
        <item x="15"/>
        <item x="8"/>
        <item x="0"/>
        <item x="26"/>
        <item x="18"/>
        <item x="28"/>
        <item x="23"/>
        <item x="12"/>
        <item x="1"/>
        <item x="10"/>
        <item x="21"/>
        <item x="22"/>
        <item x="9"/>
        <item x="16"/>
        <item x="2"/>
        <item t="default"/>
      </items>
    </pivotField>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items count="5">
        <item x="1"/>
        <item x="2"/>
        <item x="0"/>
        <item x="3"/>
        <item t="default"/>
      </items>
    </pivotField>
    <pivotField showAll="0"/>
    <pivotField showAll="0"/>
    <pivotField showAll="0">
      <items count="8">
        <item x="0"/>
        <item h="1" x="3"/>
        <item h="1" x="2"/>
        <item h="1" x="5"/>
        <item h="1" x="4"/>
        <item h="1" x="1"/>
        <item h="1"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ataField="1" showAll="0">
      <items count="6">
        <item x="0"/>
        <item x="1"/>
        <item x="2"/>
        <item x="3"/>
        <item x="4"/>
        <item t="default"/>
      </items>
    </pivotField>
  </pivotFields>
  <rowFields count="1">
    <field x="11"/>
  </rowFields>
  <rowItems count="3">
    <i>
      <x v="4"/>
    </i>
    <i>
      <x v="5"/>
    </i>
    <i t="grand">
      <x/>
    </i>
  </rowItems>
  <colItems count="1">
    <i/>
  </colItems>
  <dataFields count="1">
    <dataField name="Count of Years (order_date)" fld="13" subtotal="count" baseField="0" baseItem="0"/>
  </dataFields>
  <formats count="5">
    <format dxfId="231">
      <pivotArea type="all" dataOnly="0" outline="0" fieldPosition="0"/>
    </format>
    <format dxfId="232">
      <pivotArea outline="0" collapsedLevelsAreSubtotals="1" fieldPosition="0"/>
    </format>
    <format dxfId="233">
      <pivotArea field="11" type="button" dataOnly="0" labelOnly="1" outline="0" axis="axisRow" fieldPosition="0"/>
    </format>
    <format dxfId="234">
      <pivotArea dataOnly="0" labelOnly="1" grandRow="1" outline="0" fieldPosition="0"/>
    </format>
    <format dxfId="2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5C350D-5F47-46C6-8CC3-58B7B3FD2975}"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58"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C75F54-6EEA-46CC-AC52-2817413101B6}"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F46"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9AEF5-5041-4DDB-B1F2-A6235F93A61C}"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29:B32" firstHeaderRow="1" firstDataRow="1" firstDataCol="1" rowPageCount="1" colPageCount="1"/>
  <pivotFields count="14">
    <pivotField showAll="0">
      <items count="32">
        <item x="4"/>
        <item x="14"/>
        <item x="17"/>
        <item x="5"/>
        <item x="24"/>
        <item x="11"/>
        <item x="6"/>
        <item x="25"/>
        <item x="29"/>
        <item x="20"/>
        <item x="13"/>
        <item x="30"/>
        <item x="7"/>
        <item x="19"/>
        <item x="27"/>
        <item x="3"/>
        <item x="15"/>
        <item x="8"/>
        <item x="0"/>
        <item x="26"/>
        <item x="18"/>
        <item x="28"/>
        <item x="23"/>
        <item x="12"/>
        <item x="1"/>
        <item x="10"/>
        <item x="21"/>
        <item x="22"/>
        <item x="9"/>
        <item x="16"/>
        <item x="2"/>
        <item t="default"/>
      </items>
    </pivotField>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items count="5">
        <item x="1"/>
        <item x="2"/>
        <item x="0"/>
        <item x="3"/>
        <item t="default"/>
      </items>
    </pivotField>
    <pivotField dataField="1" showAll="0"/>
    <pivotField showAll="0"/>
    <pivotField axis="axisPage" showAll="0">
      <items count="8">
        <item x="0"/>
        <item x="3"/>
        <item x="2"/>
        <item x="5"/>
        <item x="4"/>
        <item x="1"/>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1"/>
  </rowFields>
  <rowItems count="3">
    <i>
      <x v="4"/>
    </i>
    <i>
      <x v="5"/>
    </i>
    <i t="grand">
      <x/>
    </i>
  </rowItems>
  <colItems count="1">
    <i/>
  </colItems>
  <pageFields count="1">
    <pageField fld="10" item="0" hier="-1"/>
  </pageFields>
  <dataFields count="1">
    <dataField name="Sum of profit" fld="8" baseField="0" baseItem="0"/>
  </dataFields>
  <formats count="5">
    <format dxfId="310">
      <pivotArea type="all" dataOnly="0" outline="0" fieldPosition="0"/>
    </format>
    <format dxfId="311">
      <pivotArea outline="0" collapsedLevelsAreSubtotals="1" fieldPosition="0"/>
    </format>
    <format dxfId="312">
      <pivotArea field="11" type="button" dataOnly="0" labelOnly="1" outline="0" axis="axisRow" fieldPosition="0"/>
    </format>
    <format dxfId="313">
      <pivotArea dataOnly="0" labelOnly="1" grandRow="1" outline="0" fieldPosition="0"/>
    </format>
    <format dxfId="314">
      <pivotArea dataOnly="0" labelOnly="1" outline="0" axis="axisValues" fieldPosition="0"/>
    </format>
  </formats>
  <chartFormats count="3">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CC327E-A180-43B0-A72A-A00397078535}"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9:B25" firstHeaderRow="1" firstDataRow="1" firstDataCol="1"/>
  <pivotFields count="14">
    <pivotField showAll="0"/>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items count="5">
        <item x="1"/>
        <item x="2"/>
        <item x="0"/>
        <item x="3"/>
        <item t="default"/>
      </items>
    </pivotField>
    <pivotField dataField="1" showAll="0"/>
    <pivotField showAll="0"/>
    <pivotField axis="axisRow" showAll="0">
      <items count="8">
        <item x="0"/>
        <item x="3"/>
        <item x="2"/>
        <item x="5"/>
        <item x="4"/>
        <item x="1"/>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5"/>
    </i>
    <i t="grand">
      <x/>
    </i>
  </rowItems>
  <colItems count="1">
    <i/>
  </colItems>
  <dataFields count="1">
    <dataField name="Sum of profit" fld="8" baseField="0" baseItem="0"/>
  </dataFields>
  <formats count="5">
    <format dxfId="201">
      <pivotArea type="all" dataOnly="0" outline="0" fieldPosition="0"/>
    </format>
    <format dxfId="202">
      <pivotArea outline="0" collapsedLevelsAreSubtotals="1" fieldPosition="0"/>
    </format>
    <format dxfId="203">
      <pivotArea field="11" type="button" dataOnly="0" labelOnly="1" outline="0"/>
    </format>
    <format dxfId="204">
      <pivotArea dataOnly="0" labelOnly="1" grandRow="1" outline="0" fieldPosition="0"/>
    </format>
    <format dxfId="205">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D001E7-6E81-4EEB-A451-D34D7C31E11B}"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A13" firstHeaderRow="1" firstDataRow="1" firstDataCol="0"/>
  <pivotFields count="14">
    <pivotField showAll="0"/>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8" baseField="0" baseItem="0"/>
  </dataFields>
  <formats count="5">
    <format dxfId="315">
      <pivotArea type="all" dataOnly="0" outline="0" fieldPosition="0"/>
    </format>
    <format dxfId="316">
      <pivotArea outline="0" collapsedLevelsAreSubtotals="1" fieldPosition="0"/>
    </format>
    <format dxfId="317">
      <pivotArea field="11" type="button" dataOnly="0" labelOnly="1" outline="0"/>
    </format>
    <format dxfId="318">
      <pivotArea dataOnly="0" labelOnly="1" grandRow="1" outline="0" fieldPosition="0"/>
    </format>
    <format dxfId="3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B47441-5E97-4E8F-A7BA-37BE45C817AD}"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A8" firstHeaderRow="1" firstDataRow="1" firstDataCol="0"/>
  <pivotFields count="14">
    <pivotField dataField="1" showAll="0">
      <items count="32">
        <item x="4"/>
        <item x="14"/>
        <item x="17"/>
        <item x="5"/>
        <item x="24"/>
        <item x="11"/>
        <item x="6"/>
        <item x="25"/>
        <item x="29"/>
        <item x="20"/>
        <item x="13"/>
        <item x="30"/>
        <item x="7"/>
        <item x="19"/>
        <item x="27"/>
        <item x="3"/>
        <item x="15"/>
        <item x="8"/>
        <item x="0"/>
        <item x="26"/>
        <item x="18"/>
        <item x="28"/>
        <item x="23"/>
        <item x="12"/>
        <item x="1"/>
        <item x="10"/>
        <item x="21"/>
        <item x="22"/>
        <item x="9"/>
        <item x="16"/>
        <item x="2"/>
        <item t="default"/>
      </items>
    </pivotField>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items count="5">
        <item x="1"/>
        <item x="2"/>
        <item x="0"/>
        <item x="3"/>
        <item t="default"/>
      </items>
    </pivotField>
    <pivotField showAll="0"/>
    <pivotField showAll="0"/>
    <pivotField showAll="0">
      <items count="8">
        <item x="0"/>
        <item h="1" x="3"/>
        <item h="1" x="2"/>
        <item h="1" x="5"/>
        <item h="1" x="4"/>
        <item h="1" x="1"/>
        <item h="1"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 fld="0" baseField="11" baseItem="8"/>
  </dataFields>
  <formats count="5">
    <format dxfId="320">
      <pivotArea type="all" dataOnly="0" outline="0" fieldPosition="0"/>
    </format>
    <format dxfId="321">
      <pivotArea outline="0" collapsedLevelsAreSubtotals="1" fieldPosition="0"/>
    </format>
    <format dxfId="322">
      <pivotArea field="11" type="button" dataOnly="0" labelOnly="1" outline="0"/>
    </format>
    <format dxfId="323">
      <pivotArea dataOnly="0" labelOnly="1" grandRow="1" outline="0" fieldPosition="0"/>
    </format>
    <format dxfId="3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6B0BE0-0BD7-4B21-812C-C388487DBB83}"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4">
    <pivotField dataField="1" showAll="0"/>
    <pivotField showAll="0">
      <items count="6">
        <item h="1" x="0"/>
        <item x="2"/>
        <item h="1" x="3"/>
        <item h="1" x="1"/>
        <item h="1" x="4"/>
        <item t="default"/>
      </items>
    </pivotField>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9">
    <i>
      <x v="1"/>
    </i>
    <i>
      <x v="3"/>
    </i>
    <i>
      <x v="4"/>
    </i>
    <i>
      <x v="5"/>
    </i>
    <i>
      <x v="7"/>
    </i>
    <i>
      <x v="8"/>
    </i>
    <i>
      <x v="10"/>
    </i>
    <i>
      <x v="12"/>
    </i>
    <i t="grand">
      <x/>
    </i>
  </rowItems>
  <colItems count="1">
    <i/>
  </colItems>
  <dataFields count="1">
    <dataField name="Sum of discount" fld="0" baseField="11" baseItem="8"/>
  </dataFields>
  <formats count="6">
    <format dxfId="336">
      <pivotArea type="all" dataOnly="0" outline="0" fieldPosition="0"/>
    </format>
    <format dxfId="335">
      <pivotArea outline="0" collapsedLevelsAreSubtotals="1" fieldPosition="0"/>
    </format>
    <format dxfId="334">
      <pivotArea field="11" type="button" dataOnly="0" labelOnly="1" outline="0" axis="axisRow" fieldPosition="0"/>
    </format>
    <format dxfId="333">
      <pivotArea dataOnly="0" labelOnly="1" fieldPosition="0">
        <references count="1">
          <reference field="11" count="8">
            <x v="1"/>
            <x v="3"/>
            <x v="4"/>
            <x v="5"/>
            <x v="7"/>
            <x v="8"/>
            <x v="10"/>
            <x v="12"/>
          </reference>
        </references>
      </pivotArea>
    </format>
    <format dxfId="332">
      <pivotArea dataOnly="0" labelOnly="1" grandRow="1" outline="0" fieldPosition="0"/>
    </format>
    <format dxfId="33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4"/>
          </reference>
        </references>
      </pivotArea>
    </chartFormat>
    <chartFormat chart="0" format="4">
      <pivotArea type="data" outline="0" fieldPosition="0">
        <references count="2">
          <reference field="4294967294" count="1" selected="0">
            <x v="0"/>
          </reference>
          <reference field="11" count="1" selected="0">
            <x v="5"/>
          </reference>
        </references>
      </pivotArea>
    </chartFormat>
    <chartFormat chart="0" format="5">
      <pivotArea type="data" outline="0" fieldPosition="0">
        <references count="2">
          <reference field="4294967294" count="1" selected="0">
            <x v="0"/>
          </reference>
          <reference field="11" count="1" selected="0">
            <x v="7"/>
          </reference>
        </references>
      </pivotArea>
    </chartFormat>
    <chartFormat chart="0" format="6">
      <pivotArea type="data" outline="0" fieldPosition="0">
        <references count="2">
          <reference field="4294967294" count="1" selected="0">
            <x v="0"/>
          </reference>
          <reference field="11" count="1" selected="0">
            <x v="8"/>
          </reference>
        </references>
      </pivotArea>
    </chartFormat>
    <chartFormat chart="0" format="7">
      <pivotArea type="data" outline="0" fieldPosition="0">
        <references count="2">
          <reference field="4294967294" count="1" selected="0">
            <x v="0"/>
          </reference>
          <reference field="11" count="1" selected="0">
            <x v="10"/>
          </reference>
        </references>
      </pivotArea>
    </chartFormat>
    <chartFormat chart="0" format="8">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ACE2F0-75F0-4869-9C83-439013C3B6CC}"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36" firstHeaderRow="1" firstDataRow="1" firstDataCol="1"/>
  <pivotFields count="14">
    <pivotField dataField="1" showAll="0"/>
    <pivotField showAll="0"/>
    <pivotField showAll="0"/>
    <pivotField showAll="0"/>
    <pivotField showAll="0">
      <items count="40">
        <item x="31"/>
        <item x="22"/>
        <item x="0"/>
        <item x="4"/>
        <item x="29"/>
        <item x="15"/>
        <item x="18"/>
        <item x="7"/>
        <item x="24"/>
        <item x="13"/>
        <item x="32"/>
        <item x="5"/>
        <item x="6"/>
        <item x="20"/>
        <item x="1"/>
        <item x="11"/>
        <item x="33"/>
        <item x="26"/>
        <item x="16"/>
        <item x="27"/>
        <item x="23"/>
        <item x="8"/>
        <item x="34"/>
        <item x="12"/>
        <item x="28"/>
        <item x="2"/>
        <item x="10"/>
        <item x="37"/>
        <item x="17"/>
        <item x="25"/>
        <item x="35"/>
        <item x="9"/>
        <item x="30"/>
        <item x="3"/>
        <item x="14"/>
        <item x="19"/>
        <item x="36"/>
        <item x="21"/>
        <item x="38"/>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Sum of discount" fld="0" baseField="0" baseItem="0"/>
  </dataFields>
  <formats count="6">
    <format dxfId="330">
      <pivotArea type="all" dataOnly="0" outline="0" fieldPosition="0"/>
    </format>
    <format dxfId="329">
      <pivotArea outline="0" collapsedLevelsAreSubtotals="1" fieldPosition="0"/>
    </format>
    <format dxfId="328">
      <pivotArea field="11" type="button" dataOnly="0" labelOnly="1" outline="0" axis="axisRow" fieldPosition="0"/>
    </format>
    <format dxfId="327">
      <pivotArea dataOnly="0" labelOnly="1" fieldPosition="0">
        <references count="1">
          <reference field="11" count="13">
            <x v="0"/>
            <x v="1"/>
            <x v="2"/>
            <x v="3"/>
            <x v="4"/>
            <x v="5"/>
            <x v="6"/>
            <x v="7"/>
            <x v="8"/>
            <x v="9"/>
            <x v="10"/>
            <x v="11"/>
            <x v="12"/>
          </reference>
        </references>
      </pivotArea>
    </format>
    <format dxfId="326">
      <pivotArea dataOnly="0" labelOnly="1" grandRow="1" outline="0" fieldPosition="0"/>
    </format>
    <format dxfId="3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0C67DB-8614-4177-BCB9-996FFEDB7C68}" sourceName="region">
  <pivotTables>
    <pivotTable tabId="2" name="PivotTable1"/>
    <pivotTable tabId="4" name="PivotTable1"/>
    <pivotTable tabId="4" name="PivotTable2"/>
    <pivotTable tabId="4" name="PivotTable4"/>
    <pivotTable tabId="4" name="PivotTable5"/>
    <pivotTable tabId="4" name="PivotTable11"/>
    <pivotTable tabId="4" name="PivotTable12"/>
  </pivotTables>
  <data>
    <tabular pivotCacheId="768464217">
      <items count="5">
        <i x="0"/>
        <i x="2" s="1"/>
        <i x="3"/>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ACD9988C-5D42-49B4-B5E7-76EBAA5B7A00}" sourceName="discount">
  <pivotTables>
    <pivotTable tabId="4" name="PivotTable5"/>
    <pivotTable tabId="4" name="PivotTable1"/>
    <pivotTable tabId="4" name="PivotTable11"/>
    <pivotTable tabId="4" name="PivotTable12"/>
  </pivotTables>
  <data>
    <tabular pivotCacheId="768464217">
      <items count="31">
        <i x="25" s="1"/>
        <i x="30" s="1"/>
        <i x="4" s="1" nd="1"/>
        <i x="14" s="1" nd="1"/>
        <i x="17" s="1" nd="1"/>
        <i x="5" s="1" nd="1"/>
        <i x="24" s="1" nd="1"/>
        <i x="11" s="1" nd="1"/>
        <i x="6" s="1" nd="1"/>
        <i x="29" s="1" nd="1"/>
        <i x="20" s="1" nd="1"/>
        <i x="13" s="1" nd="1"/>
        <i x="7" s="1" nd="1"/>
        <i x="19" s="1" nd="1"/>
        <i x="27" s="1" nd="1"/>
        <i x="3" s="1" nd="1"/>
        <i x="15" s="1" nd="1"/>
        <i x="8" s="1" nd="1"/>
        <i x="0" s="1" nd="1"/>
        <i x="26" s="1" nd="1"/>
        <i x="18" s="1" nd="1"/>
        <i x="28" s="1" nd="1"/>
        <i x="23" s="1" nd="1"/>
        <i x="12" s="1" nd="1"/>
        <i x="1" s="1" nd="1"/>
        <i x="10" s="1" nd="1"/>
        <i x="21" s="1" nd="1"/>
        <i x="22" s="1" nd="1"/>
        <i x="9" s="1" nd="1"/>
        <i x="16"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11AD0DD-AB44-40EB-99D6-339265610532}" sourceName="order_date">
  <pivotTables>
    <pivotTable tabId="4" name="PivotTable5"/>
    <pivotTable tabId="4" name="PivotTable1"/>
    <pivotTable tabId="4" name="PivotTable11"/>
    <pivotTable tabId="4" name="PivotTable12"/>
  </pivotTables>
  <data>
    <tabular pivotCacheId="768464217">
      <items count="39">
        <i x="29" s="1"/>
        <i x="37" s="1"/>
        <i x="31" s="1" nd="1"/>
        <i x="22" s="1" nd="1"/>
        <i x="0" s="1" nd="1"/>
        <i x="4" s="1" nd="1"/>
        <i x="15" s="1" nd="1"/>
        <i x="18" s="1" nd="1"/>
        <i x="7" s="1" nd="1"/>
        <i x="24" s="1" nd="1"/>
        <i x="13" s="1" nd="1"/>
        <i x="32" s="1" nd="1"/>
        <i x="5" s="1" nd="1"/>
        <i x="6" s="1" nd="1"/>
        <i x="20" s="1" nd="1"/>
        <i x="1" s="1" nd="1"/>
        <i x="11" s="1" nd="1"/>
        <i x="33" s="1" nd="1"/>
        <i x="26" s="1" nd="1"/>
        <i x="16" s="1" nd="1"/>
        <i x="27" s="1" nd="1"/>
        <i x="23" s="1" nd="1"/>
        <i x="8" s="1" nd="1"/>
        <i x="34" s="1" nd="1"/>
        <i x="12" s="1" nd="1"/>
        <i x="28" s="1" nd="1"/>
        <i x="2" s="1" nd="1"/>
        <i x="10" s="1" nd="1"/>
        <i x="17" s="1" nd="1"/>
        <i x="25" s="1" nd="1"/>
        <i x="35" s="1" nd="1"/>
        <i x="9" s="1" nd="1"/>
        <i x="30" s="1" nd="1"/>
        <i x="3" s="1" nd="1"/>
        <i x="14" s="1" nd="1"/>
        <i x="19" s="1" nd="1"/>
        <i x="36" s="1" nd="1"/>
        <i x="21" s="1" nd="1"/>
        <i x="3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6B3D808-BACB-4794-8D44-2CBB351667C6}" sourceName="payment_mode">
  <pivotTables>
    <pivotTable tabId="4" name="PivotTable5"/>
    <pivotTable tabId="4" name="PivotTable1"/>
    <pivotTable tabId="4" name="PivotTable11"/>
    <pivotTable tabId="4" name="PivotTable12"/>
  </pivotTables>
  <data>
    <tabular pivotCacheId="768464217">
      <items count="4">
        <i x="1" s="1"/>
        <i x="0" s="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F46B8C-EFBD-4548-8EFC-7D6FBFED92ED}" sourceName="city">
  <pivotTables>
    <pivotTable tabId="4" name="PivotTable5"/>
    <pivotTable tabId="4" name="PivotTable1"/>
    <pivotTable tabId="4" name="PivotTable11"/>
    <pivotTable tabId="4" name="PivotTable12"/>
  </pivotTables>
  <data>
    <tabular pivotCacheId="768464217">
      <items count="7">
        <i x="0" s="1"/>
        <i x="3"/>
        <i x="2"/>
        <i x="5"/>
        <i x="1"/>
        <i x="4"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5C4A14-D7AD-4F60-9268-A6DB8ABA53F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C8BAFA05-B8F6-4888-A572-5E2FF3A1C769}" cache="Slicer_discount" caption="discount" rowHeight="234950"/>
  <slicer name="order_date" xr10:uid="{00105BF5-61C9-4FC7-92EA-6220A8DB55E9}" cache="Slicer_order_date" caption="order_date" startItem="24" rowHeight="234950"/>
  <slicer name="payment_mode" xr10:uid="{E8563860-D5A8-4F5F-A75A-DB5B2AB93F26}" cache="Slicer_payment_mode" caption="payment_mode" rowHeight="234950"/>
  <slicer name="city" xr10:uid="{71A280BE-BBBF-45E3-BE70-F49461AA9C03}"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D68D-0247-4C1A-A54B-9FD70C0F72FB}">
  <dimension ref="A1:L64"/>
  <sheetViews>
    <sheetView topLeftCell="A42" workbookViewId="0">
      <selection activeCell="I2" sqref="I2:R2"/>
    </sheetView>
  </sheetViews>
  <sheetFormatPr defaultRowHeight="14.4" x14ac:dyDescent="0.3"/>
  <cols>
    <col min="1" max="1" width="14.77734375" bestFit="1" customWidth="1"/>
    <col min="2" max="2" width="12.109375" bestFit="1" customWidth="1"/>
    <col min="7" max="7" width="12.5546875" bestFit="1" customWidth="1"/>
    <col min="8" max="8" width="24.6640625" bestFit="1" customWidth="1"/>
    <col min="11" max="11" width="12.5546875" bestFit="1" customWidth="1"/>
    <col min="12" max="12" width="24.6640625" bestFit="1" customWidth="1"/>
  </cols>
  <sheetData>
    <row r="1" spans="1:12" x14ac:dyDescent="0.3">
      <c r="K1" s="7" t="s">
        <v>34</v>
      </c>
      <c r="L1" s="7" t="s">
        <v>53</v>
      </c>
    </row>
    <row r="2" spans="1:12" x14ac:dyDescent="0.3">
      <c r="K2" s="8" t="s">
        <v>41</v>
      </c>
      <c r="L2" s="9">
        <v>1</v>
      </c>
    </row>
    <row r="3" spans="1:12" x14ac:dyDescent="0.3">
      <c r="K3" s="8" t="s">
        <v>42</v>
      </c>
      <c r="L3" s="9">
        <v>1</v>
      </c>
    </row>
    <row r="4" spans="1:12" x14ac:dyDescent="0.3">
      <c r="K4" s="8" t="s">
        <v>33</v>
      </c>
      <c r="L4" s="9">
        <v>2</v>
      </c>
    </row>
    <row r="7" spans="1:12" x14ac:dyDescent="0.3">
      <c r="A7" s="7" t="s">
        <v>35</v>
      </c>
    </row>
    <row r="8" spans="1:12" x14ac:dyDescent="0.3">
      <c r="A8" s="9">
        <v>0.39</v>
      </c>
      <c r="C8">
        <f>GETPIVOTDATA("discount",$A$7)</f>
        <v>0.39</v>
      </c>
    </row>
    <row r="12" spans="1:12" x14ac:dyDescent="0.3">
      <c r="A12" s="7" t="s">
        <v>52</v>
      </c>
    </row>
    <row r="13" spans="1:12" x14ac:dyDescent="0.3">
      <c r="A13" s="9">
        <v>4503.47</v>
      </c>
      <c r="C13">
        <f>GETPIVOTDATA("profit",$A$12)</f>
        <v>4503.47</v>
      </c>
    </row>
    <row r="19" spans="1:6" x14ac:dyDescent="0.3">
      <c r="A19" s="7" t="s">
        <v>34</v>
      </c>
      <c r="B19" s="7" t="s">
        <v>52</v>
      </c>
    </row>
    <row r="20" spans="1:6" x14ac:dyDescent="0.3">
      <c r="A20" s="8" t="s">
        <v>11</v>
      </c>
      <c r="B20" s="9">
        <v>865.71</v>
      </c>
    </row>
    <row r="21" spans="1:6" x14ac:dyDescent="0.3">
      <c r="A21" s="8" t="s">
        <v>21</v>
      </c>
      <c r="B21" s="9">
        <v>288.14999999999998</v>
      </c>
    </row>
    <row r="22" spans="1:6" x14ac:dyDescent="0.3">
      <c r="A22" s="8" t="s">
        <v>16</v>
      </c>
      <c r="B22" s="9">
        <v>1780.98</v>
      </c>
    </row>
    <row r="23" spans="1:6" x14ac:dyDescent="0.3">
      <c r="A23" s="8" t="s">
        <v>19</v>
      </c>
      <c r="B23" s="9">
        <v>981.94</v>
      </c>
    </row>
    <row r="24" spans="1:6" x14ac:dyDescent="0.3">
      <c r="A24" s="8" t="s">
        <v>14</v>
      </c>
      <c r="B24" s="9">
        <v>586.69000000000005</v>
      </c>
    </row>
    <row r="25" spans="1:6" x14ac:dyDescent="0.3">
      <c r="A25" s="8" t="s">
        <v>33</v>
      </c>
      <c r="B25" s="9">
        <v>4503.47</v>
      </c>
    </row>
    <row r="27" spans="1:6" x14ac:dyDescent="0.3">
      <c r="A27" s="7" t="s">
        <v>8</v>
      </c>
      <c r="B27" s="7" t="s">
        <v>11</v>
      </c>
    </row>
    <row r="29" spans="1:6" x14ac:dyDescent="0.3">
      <c r="A29" s="7" t="s">
        <v>34</v>
      </c>
      <c r="B29" s="7" t="s">
        <v>52</v>
      </c>
      <c r="D29" s="13"/>
      <c r="E29" s="14"/>
      <c r="F29" s="15"/>
    </row>
    <row r="30" spans="1:6" x14ac:dyDescent="0.3">
      <c r="A30" s="8" t="s">
        <v>41</v>
      </c>
      <c r="B30" s="9">
        <v>123.49</v>
      </c>
      <c r="D30" s="16"/>
      <c r="E30" s="17"/>
      <c r="F30" s="18"/>
    </row>
    <row r="31" spans="1:6" x14ac:dyDescent="0.3">
      <c r="A31" s="8" t="s">
        <v>42</v>
      </c>
      <c r="B31" s="9">
        <v>742.22</v>
      </c>
      <c r="D31" s="16"/>
      <c r="E31" s="17"/>
      <c r="F31" s="18"/>
    </row>
    <row r="32" spans="1:6" x14ac:dyDescent="0.3">
      <c r="A32" s="8" t="s">
        <v>33</v>
      </c>
      <c r="B32" s="9">
        <v>865.71</v>
      </c>
      <c r="D32" s="16"/>
      <c r="E32" s="17"/>
      <c r="F32" s="18"/>
    </row>
    <row r="33" spans="1:6" x14ac:dyDescent="0.3">
      <c r="D33" s="16"/>
      <c r="E33" s="17"/>
      <c r="F33" s="18"/>
    </row>
    <row r="34" spans="1:6" x14ac:dyDescent="0.3">
      <c r="D34" s="16"/>
      <c r="E34" s="17"/>
      <c r="F34" s="18"/>
    </row>
    <row r="35" spans="1:6" x14ac:dyDescent="0.3">
      <c r="D35" s="16"/>
      <c r="E35" s="17"/>
      <c r="F35" s="18"/>
    </row>
    <row r="36" spans="1:6" x14ac:dyDescent="0.3">
      <c r="D36" s="16"/>
      <c r="E36" s="17"/>
      <c r="F36" s="18"/>
    </row>
    <row r="37" spans="1:6" x14ac:dyDescent="0.3">
      <c r="D37" s="16"/>
      <c r="E37" s="17"/>
      <c r="F37" s="18"/>
    </row>
    <row r="38" spans="1:6" x14ac:dyDescent="0.3">
      <c r="D38" s="16"/>
      <c r="E38" s="17"/>
      <c r="F38" s="18"/>
    </row>
    <row r="39" spans="1:6" x14ac:dyDescent="0.3">
      <c r="D39" s="16"/>
      <c r="E39" s="17"/>
      <c r="F39" s="18"/>
    </row>
    <row r="40" spans="1:6" x14ac:dyDescent="0.3">
      <c r="D40" s="16"/>
      <c r="E40" s="17"/>
      <c r="F40" s="18"/>
    </row>
    <row r="41" spans="1:6" x14ac:dyDescent="0.3">
      <c r="A41" s="13"/>
      <c r="B41" s="14"/>
      <c r="C41" s="15"/>
      <c r="D41" s="16"/>
      <c r="E41" s="17"/>
      <c r="F41" s="18"/>
    </row>
    <row r="42" spans="1:6" x14ac:dyDescent="0.3">
      <c r="A42" s="16"/>
      <c r="B42" s="17"/>
      <c r="C42" s="18"/>
      <c r="D42" s="16"/>
      <c r="E42" s="17"/>
      <c r="F42" s="18"/>
    </row>
    <row r="43" spans="1:6" x14ac:dyDescent="0.3">
      <c r="A43" s="16"/>
      <c r="B43" s="17"/>
      <c r="C43" s="18"/>
      <c r="D43" s="16"/>
      <c r="E43" s="17"/>
      <c r="F43" s="18"/>
    </row>
    <row r="44" spans="1:6" x14ac:dyDescent="0.3">
      <c r="A44" s="16"/>
      <c r="B44" s="17"/>
      <c r="C44" s="18"/>
      <c r="D44" s="16"/>
      <c r="E44" s="17"/>
      <c r="F44" s="18"/>
    </row>
    <row r="45" spans="1:6" x14ac:dyDescent="0.3">
      <c r="A45" s="16"/>
      <c r="B45" s="17"/>
      <c r="C45" s="18"/>
      <c r="D45" s="16"/>
      <c r="E45" s="17"/>
      <c r="F45" s="18"/>
    </row>
    <row r="46" spans="1:6" x14ac:dyDescent="0.3">
      <c r="A46" s="16"/>
      <c r="B46" s="17"/>
      <c r="C46" s="18"/>
      <c r="D46" s="19"/>
      <c r="E46" s="20"/>
      <c r="F46" s="21"/>
    </row>
    <row r="47" spans="1:6" x14ac:dyDescent="0.3">
      <c r="A47" s="16"/>
      <c r="B47" s="17"/>
      <c r="C47" s="18"/>
    </row>
    <row r="48" spans="1:6" x14ac:dyDescent="0.3">
      <c r="A48" s="16"/>
      <c r="B48" s="17"/>
      <c r="C48" s="18"/>
    </row>
    <row r="49" spans="1:8" x14ac:dyDescent="0.3">
      <c r="A49" s="16"/>
      <c r="B49" s="17"/>
      <c r="C49" s="18"/>
    </row>
    <row r="50" spans="1:8" x14ac:dyDescent="0.3">
      <c r="A50" s="16"/>
      <c r="B50" s="17"/>
      <c r="C50" s="18"/>
    </row>
    <row r="51" spans="1:8" x14ac:dyDescent="0.3">
      <c r="A51" s="16"/>
      <c r="B51" s="17"/>
      <c r="C51" s="18"/>
    </row>
    <row r="52" spans="1:8" x14ac:dyDescent="0.3">
      <c r="A52" s="16"/>
      <c r="B52" s="17"/>
      <c r="C52" s="18"/>
      <c r="G52" s="7" t="s">
        <v>34</v>
      </c>
      <c r="H52" s="7" t="s">
        <v>53</v>
      </c>
    </row>
    <row r="53" spans="1:8" x14ac:dyDescent="0.3">
      <c r="A53" s="16"/>
      <c r="B53" s="17"/>
      <c r="C53" s="18"/>
      <c r="G53" s="8" t="s">
        <v>41</v>
      </c>
      <c r="H53" s="9">
        <v>1</v>
      </c>
    </row>
    <row r="54" spans="1:8" x14ac:dyDescent="0.3">
      <c r="A54" s="16"/>
      <c r="B54" s="17"/>
      <c r="C54" s="18"/>
      <c r="G54" s="8" t="s">
        <v>42</v>
      </c>
      <c r="H54" s="9">
        <v>1</v>
      </c>
    </row>
    <row r="55" spans="1:8" x14ac:dyDescent="0.3">
      <c r="A55" s="16"/>
      <c r="B55" s="17"/>
      <c r="C55" s="18"/>
      <c r="G55" s="8" t="s">
        <v>33</v>
      </c>
      <c r="H55" s="9">
        <v>2</v>
      </c>
    </row>
    <row r="56" spans="1:8" x14ac:dyDescent="0.3">
      <c r="A56" s="16"/>
      <c r="B56" s="17"/>
      <c r="C56" s="18"/>
    </row>
    <row r="57" spans="1:8" x14ac:dyDescent="0.3">
      <c r="A57" s="16"/>
      <c r="B57" s="17"/>
      <c r="C57" s="18"/>
    </row>
    <row r="58" spans="1:8" x14ac:dyDescent="0.3">
      <c r="A58" s="19"/>
      <c r="B58" s="20"/>
      <c r="C58" s="21"/>
    </row>
    <row r="60" spans="1:8" x14ac:dyDescent="0.3">
      <c r="A60" s="23" t="s">
        <v>34</v>
      </c>
      <c r="B60" s="23" t="s">
        <v>52</v>
      </c>
    </row>
    <row r="61" spans="1:8" x14ac:dyDescent="0.3">
      <c r="A61" s="8" t="s">
        <v>9</v>
      </c>
      <c r="B61" s="9">
        <v>1791.8200000000002</v>
      </c>
    </row>
    <row r="62" spans="1:8" x14ac:dyDescent="0.3">
      <c r="A62" s="8" t="s">
        <v>18</v>
      </c>
      <c r="B62" s="9">
        <v>1673.05</v>
      </c>
    </row>
    <row r="63" spans="1:8" x14ac:dyDescent="0.3">
      <c r="A63" s="8" t="s">
        <v>12</v>
      </c>
      <c r="B63" s="9">
        <v>1038.6000000000001</v>
      </c>
    </row>
    <row r="64" spans="1:8" x14ac:dyDescent="0.3">
      <c r="A64" s="24" t="s">
        <v>33</v>
      </c>
      <c r="B64" s="25">
        <v>4503.47</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A491-1D86-4555-9BB6-49E3BFC93ADF}">
  <dimension ref="A2:E36"/>
  <sheetViews>
    <sheetView workbookViewId="0">
      <selection activeCell="A3" sqref="A3:B12"/>
    </sheetView>
  </sheetViews>
  <sheetFormatPr defaultRowHeight="14.4" x14ac:dyDescent="0.3"/>
  <cols>
    <col min="1" max="1" width="12.5546875" style="7" bestFit="1" customWidth="1"/>
    <col min="2" max="2" width="14.77734375" style="7" bestFit="1" customWidth="1"/>
    <col min="3" max="5" width="15.5546875" style="7" bestFit="1" customWidth="1"/>
    <col min="6" max="6" width="10.77734375" style="7" bestFit="1" customWidth="1"/>
    <col min="7" max="16384" width="8.88671875" style="7"/>
  </cols>
  <sheetData>
    <row r="2" spans="1:5" x14ac:dyDescent="0.3">
      <c r="E2" s="7" t="s">
        <v>50</v>
      </c>
    </row>
    <row r="3" spans="1:5" x14ac:dyDescent="0.3">
      <c r="A3" s="7" t="s">
        <v>34</v>
      </c>
      <c r="B3" s="7" t="s">
        <v>35</v>
      </c>
    </row>
    <row r="4" spans="1:5" x14ac:dyDescent="0.3">
      <c r="A4" s="8" t="s">
        <v>38</v>
      </c>
      <c r="B4" s="9">
        <v>0.28000000000000003</v>
      </c>
    </row>
    <row r="5" spans="1:5" x14ac:dyDescent="0.3">
      <c r="A5" s="8" t="s">
        <v>40</v>
      </c>
      <c r="B5" s="9"/>
    </row>
    <row r="6" spans="1:5" x14ac:dyDescent="0.3">
      <c r="A6" s="8" t="s">
        <v>41</v>
      </c>
      <c r="B6" s="9">
        <v>0.17</v>
      </c>
    </row>
    <row r="7" spans="1:5" x14ac:dyDescent="0.3">
      <c r="A7" s="8" t="s">
        <v>42</v>
      </c>
      <c r="B7" s="9">
        <v>0.45</v>
      </c>
    </row>
    <row r="8" spans="1:5" x14ac:dyDescent="0.3">
      <c r="A8" s="8" t="s">
        <v>44</v>
      </c>
      <c r="B8" s="9">
        <v>0.16</v>
      </c>
    </row>
    <row r="9" spans="1:5" x14ac:dyDescent="0.3">
      <c r="A9" s="8" t="s">
        <v>45</v>
      </c>
      <c r="B9" s="9">
        <v>0.65</v>
      </c>
    </row>
    <row r="10" spans="1:5" x14ac:dyDescent="0.3">
      <c r="A10" s="8" t="s">
        <v>47</v>
      </c>
      <c r="B10" s="9">
        <v>0.21</v>
      </c>
    </row>
    <row r="11" spans="1:5" x14ac:dyDescent="0.3">
      <c r="A11" s="8" t="s">
        <v>49</v>
      </c>
      <c r="B11" s="9">
        <v>0.18</v>
      </c>
    </row>
    <row r="12" spans="1:5" x14ac:dyDescent="0.3">
      <c r="A12" s="8" t="s">
        <v>33</v>
      </c>
      <c r="B12" s="9">
        <v>2.1</v>
      </c>
    </row>
    <row r="22" spans="1:2" x14ac:dyDescent="0.3">
      <c r="A22" s="7" t="s">
        <v>34</v>
      </c>
      <c r="B22" s="7" t="s">
        <v>35</v>
      </c>
    </row>
    <row r="23" spans="1:2" x14ac:dyDescent="0.3">
      <c r="A23" s="8" t="s">
        <v>37</v>
      </c>
      <c r="B23" s="9"/>
    </row>
    <row r="24" spans="1:2" x14ac:dyDescent="0.3">
      <c r="A24" s="8" t="s">
        <v>38</v>
      </c>
      <c r="B24" s="9">
        <v>1.22</v>
      </c>
    </row>
    <row r="25" spans="1:2" x14ac:dyDescent="0.3">
      <c r="A25" s="8" t="s">
        <v>39</v>
      </c>
      <c r="B25" s="9">
        <v>0.37</v>
      </c>
    </row>
    <row r="26" spans="1:2" x14ac:dyDescent="0.3">
      <c r="A26" s="8" t="s">
        <v>40</v>
      </c>
      <c r="B26" s="9">
        <v>0.52</v>
      </c>
    </row>
    <row r="27" spans="1:2" x14ac:dyDescent="0.3">
      <c r="A27" s="8" t="s">
        <v>41</v>
      </c>
      <c r="B27" s="9">
        <v>0.17700000000000002</v>
      </c>
    </row>
    <row r="28" spans="1:2" x14ac:dyDescent="0.3">
      <c r="A28" s="8" t="s">
        <v>42</v>
      </c>
      <c r="B28" s="9">
        <v>2</v>
      </c>
    </row>
    <row r="29" spans="1:2" x14ac:dyDescent="0.3">
      <c r="A29" s="8" t="s">
        <v>43</v>
      </c>
      <c r="B29" s="9">
        <v>1.25</v>
      </c>
    </row>
    <row r="30" spans="1:2" x14ac:dyDescent="0.3">
      <c r="A30" s="8" t="s">
        <v>44</v>
      </c>
      <c r="B30" s="9">
        <v>0.18</v>
      </c>
    </row>
    <row r="31" spans="1:2" x14ac:dyDescent="0.3">
      <c r="A31" s="8" t="s">
        <v>45</v>
      </c>
      <c r="B31" s="9">
        <v>1.4700000000000002</v>
      </c>
    </row>
    <row r="32" spans="1:2" x14ac:dyDescent="0.3">
      <c r="A32" s="8" t="s">
        <v>46</v>
      </c>
      <c r="B32" s="9">
        <v>0.43000000000000005</v>
      </c>
    </row>
    <row r="33" spans="1:2" x14ac:dyDescent="0.3">
      <c r="A33" s="8" t="s">
        <v>47</v>
      </c>
      <c r="B33" s="9">
        <v>0.83800000000000008</v>
      </c>
    </row>
    <row r="34" spans="1:2" x14ac:dyDescent="0.3">
      <c r="A34" s="8" t="s">
        <v>48</v>
      </c>
      <c r="B34" s="9">
        <v>0.17</v>
      </c>
    </row>
    <row r="35" spans="1:2" x14ac:dyDescent="0.3">
      <c r="A35" s="8" t="s">
        <v>49</v>
      </c>
      <c r="B35" s="9">
        <v>0.82000000000000006</v>
      </c>
    </row>
    <row r="36" spans="1:2" x14ac:dyDescent="0.3">
      <c r="A36" s="8" t="s">
        <v>33</v>
      </c>
      <c r="B36" s="9">
        <v>9.4449999999999985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47E9D-1B46-49AB-8C88-515E0B804F93}">
  <dimension ref="I2:Q13"/>
  <sheetViews>
    <sheetView tabSelected="1" topLeftCell="A16" zoomScale="75" workbookViewId="0">
      <selection activeCell="AA38" sqref="AA38"/>
    </sheetView>
  </sheetViews>
  <sheetFormatPr defaultRowHeight="14.4" x14ac:dyDescent="0.3"/>
  <cols>
    <col min="1" max="16384" width="8.88671875" style="7"/>
  </cols>
  <sheetData>
    <row r="2" spans="9:17" ht="36.6" x14ac:dyDescent="0.7">
      <c r="J2" s="10" t="s">
        <v>50</v>
      </c>
      <c r="K2" s="11"/>
      <c r="L2" s="11"/>
      <c r="M2" s="11"/>
      <c r="N2" s="11"/>
      <c r="O2" s="11"/>
      <c r="P2" s="11"/>
      <c r="Q2" s="11"/>
    </row>
    <row r="7" spans="9:17" ht="31.2" x14ac:dyDescent="0.6">
      <c r="I7" s="22" t="s">
        <v>51</v>
      </c>
      <c r="J7" s="22"/>
      <c r="K7" s="22">
        <v>4503.47</v>
      </c>
      <c r="M7" s="12" t="s">
        <v>51</v>
      </c>
      <c r="N7" s="11"/>
      <c r="O7" s="11"/>
    </row>
    <row r="13" spans="9:17" x14ac:dyDescent="0.3">
      <c r="L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AC5C-DA1C-43FA-8AF4-B4F38F2C0A6C}">
  <dimension ref="A1:L40"/>
  <sheetViews>
    <sheetView workbookViewId="0">
      <selection activeCell="F12" sqref="F12"/>
    </sheetView>
  </sheetViews>
  <sheetFormatPr defaultRowHeight="14.4" x14ac:dyDescent="0.3"/>
  <cols>
    <col min="1" max="1" width="13.5546875" customWidth="1"/>
    <col min="2" max="2" width="18.44140625" customWidth="1"/>
    <col min="3" max="3" width="10.77734375" customWidth="1"/>
    <col min="4" max="4" width="17.77734375" customWidth="1"/>
    <col min="5" max="5" width="16.6640625" customWidth="1"/>
    <col min="6" max="6" width="11.33203125" customWidth="1"/>
    <col min="9" max="9" width="10.88671875" customWidth="1"/>
    <col min="10" max="10" width="12.88671875" customWidth="1"/>
    <col min="11" max="11" width="18.77734375" customWidth="1"/>
  </cols>
  <sheetData>
    <row r="1" spans="1:12" ht="17.399999999999999" x14ac:dyDescent="0.3">
      <c r="A1" s="1" t="s">
        <v>0</v>
      </c>
      <c r="B1" s="1" t="s">
        <v>28</v>
      </c>
      <c r="C1" s="1" t="s">
        <v>36</v>
      </c>
      <c r="D1" s="1" t="s">
        <v>1</v>
      </c>
      <c r="E1" s="1" t="s">
        <v>2</v>
      </c>
      <c r="F1" s="1" t="s">
        <v>3</v>
      </c>
      <c r="G1" s="1" t="s">
        <v>4</v>
      </c>
      <c r="H1" s="1" t="s">
        <v>5</v>
      </c>
      <c r="I1" s="1" t="s">
        <v>6</v>
      </c>
      <c r="J1" s="1" t="s">
        <v>7</v>
      </c>
      <c r="K1" s="1" t="s">
        <v>8</v>
      </c>
      <c r="L1" s="1" t="s">
        <v>5</v>
      </c>
    </row>
    <row r="2" spans="1:12" ht="17.399999999999999" x14ac:dyDescent="0.3">
      <c r="A2" s="2">
        <v>0.31</v>
      </c>
      <c r="B2" s="2" t="s">
        <v>29</v>
      </c>
      <c r="C2" s="2">
        <v>713.49</v>
      </c>
      <c r="D2" s="2">
        <v>3</v>
      </c>
      <c r="E2" s="3">
        <v>45015</v>
      </c>
      <c r="F2" s="3">
        <v>45017</v>
      </c>
      <c r="G2" s="2" t="s">
        <v>9</v>
      </c>
      <c r="H2" s="2" t="s">
        <v>10</v>
      </c>
      <c r="I2" s="2">
        <v>114.72</v>
      </c>
      <c r="J2" s="2" t="s">
        <v>11</v>
      </c>
      <c r="K2" s="2" t="s">
        <v>11</v>
      </c>
      <c r="L2" s="2" t="s">
        <v>10</v>
      </c>
    </row>
    <row r="3" spans="1:12" ht="17.399999999999999" x14ac:dyDescent="0.3">
      <c r="A3" s="5">
        <v>0.38</v>
      </c>
      <c r="B3" s="5" t="s">
        <v>30</v>
      </c>
      <c r="C3" s="5">
        <v>3802.97</v>
      </c>
      <c r="D3" s="5">
        <v>4</v>
      </c>
      <c r="E3" s="6">
        <v>45166</v>
      </c>
      <c r="F3" s="6">
        <v>45172</v>
      </c>
      <c r="G3" s="5" t="s">
        <v>12</v>
      </c>
      <c r="H3" s="5" t="s">
        <v>13</v>
      </c>
      <c r="I3" s="5">
        <v>971.41</v>
      </c>
      <c r="J3" s="5" t="s">
        <v>14</v>
      </c>
      <c r="K3" s="5" t="s">
        <v>14</v>
      </c>
      <c r="L3" s="5" t="s">
        <v>13</v>
      </c>
    </row>
    <row r="4" spans="1:12" ht="17.399999999999999" x14ac:dyDescent="0.3">
      <c r="A4" s="2"/>
      <c r="B4" s="2" t="s">
        <v>31</v>
      </c>
      <c r="C4" s="2">
        <v>3588.97</v>
      </c>
      <c r="D4" s="2">
        <v>7</v>
      </c>
      <c r="E4" s="3">
        <v>45360</v>
      </c>
      <c r="F4" s="3">
        <v>45366</v>
      </c>
      <c r="G4" s="2" t="s">
        <v>12</v>
      </c>
      <c r="H4" s="2" t="s">
        <v>15</v>
      </c>
      <c r="I4" s="2">
        <v>769.08</v>
      </c>
      <c r="J4" s="2" t="s">
        <v>16</v>
      </c>
      <c r="K4" s="2" t="s">
        <v>16</v>
      </c>
      <c r="L4" s="2" t="s">
        <v>15</v>
      </c>
    </row>
    <row r="5" spans="1:12" ht="17.399999999999999" x14ac:dyDescent="0.3">
      <c r="A5" s="5">
        <v>0.27</v>
      </c>
      <c r="B5" s="5" t="s">
        <v>29</v>
      </c>
      <c r="C5" s="5">
        <v>1160.8599999999999</v>
      </c>
      <c r="D5" s="5">
        <v>5</v>
      </c>
      <c r="E5" s="6">
        <v>45578</v>
      </c>
      <c r="F5" s="6">
        <v>45584</v>
      </c>
      <c r="G5" s="5" t="s">
        <v>9</v>
      </c>
      <c r="H5" s="5" t="s">
        <v>10</v>
      </c>
      <c r="I5" s="5">
        <v>71.61</v>
      </c>
      <c r="J5" s="5" t="s">
        <v>17</v>
      </c>
      <c r="K5" s="5" t="s">
        <v>11</v>
      </c>
      <c r="L5" s="5" t="s">
        <v>10</v>
      </c>
    </row>
    <row r="6" spans="1:12" ht="17.399999999999999" x14ac:dyDescent="0.3">
      <c r="A6" s="2">
        <v>0</v>
      </c>
      <c r="B6" s="2" t="s">
        <v>29</v>
      </c>
      <c r="C6" s="2">
        <v>3071.32</v>
      </c>
      <c r="D6" s="2">
        <v>7</v>
      </c>
      <c r="E6" s="3">
        <v>45022</v>
      </c>
      <c r="F6" s="3">
        <v>45025</v>
      </c>
      <c r="G6" s="2" t="s">
        <v>18</v>
      </c>
      <c r="H6" s="2" t="s">
        <v>15</v>
      </c>
      <c r="I6" s="2">
        <v>621.91999999999996</v>
      </c>
      <c r="J6" s="2" t="s">
        <v>19</v>
      </c>
      <c r="K6" s="2" t="s">
        <v>16</v>
      </c>
      <c r="L6" s="2" t="s">
        <v>15</v>
      </c>
    </row>
    <row r="7" spans="1:12" ht="17.399999999999999" x14ac:dyDescent="0.3">
      <c r="A7" s="5">
        <v>0.02</v>
      </c>
      <c r="B7" s="5" t="s">
        <v>30</v>
      </c>
      <c r="C7" s="5">
        <v>2566.1799999999998</v>
      </c>
      <c r="D7" s="5">
        <v>6</v>
      </c>
      <c r="E7" s="6">
        <v>45108</v>
      </c>
      <c r="F7" s="6">
        <v>45111</v>
      </c>
      <c r="G7" s="5" t="s">
        <v>9</v>
      </c>
      <c r="H7" s="5" t="s">
        <v>10</v>
      </c>
      <c r="I7" s="5">
        <v>578.94000000000005</v>
      </c>
      <c r="J7" s="5" t="s">
        <v>20</v>
      </c>
      <c r="K7" s="5" t="s">
        <v>21</v>
      </c>
      <c r="L7" s="5" t="s">
        <v>10</v>
      </c>
    </row>
    <row r="8" spans="1:12" ht="17.399999999999999" x14ac:dyDescent="0.3">
      <c r="A8" s="2">
        <v>0.16</v>
      </c>
      <c r="B8" s="2" t="s">
        <v>31</v>
      </c>
      <c r="C8" s="2">
        <v>398</v>
      </c>
      <c r="D8" s="2">
        <v>4</v>
      </c>
      <c r="E8" s="3">
        <v>45119</v>
      </c>
      <c r="F8" s="3">
        <v>45124</v>
      </c>
      <c r="G8" s="2" t="s">
        <v>18</v>
      </c>
      <c r="H8" s="2" t="s">
        <v>15</v>
      </c>
      <c r="I8" s="2">
        <v>110.31</v>
      </c>
      <c r="J8" s="2" t="s">
        <v>22</v>
      </c>
      <c r="K8" s="2" t="s">
        <v>17</v>
      </c>
      <c r="L8" s="2" t="s">
        <v>15</v>
      </c>
    </row>
    <row r="9" spans="1:12" ht="17.399999999999999" x14ac:dyDescent="0.3">
      <c r="A9" s="5">
        <v>0.23</v>
      </c>
      <c r="B9" s="5" t="s">
        <v>31</v>
      </c>
      <c r="C9" s="5">
        <v>1462.95</v>
      </c>
      <c r="D9" s="5">
        <v>2</v>
      </c>
      <c r="E9" s="6">
        <v>45064</v>
      </c>
      <c r="F9" s="6">
        <v>45066</v>
      </c>
      <c r="G9" s="5" t="s">
        <v>12</v>
      </c>
      <c r="H9" s="5" t="s">
        <v>10</v>
      </c>
      <c r="I9" s="5">
        <v>91.68</v>
      </c>
      <c r="J9" s="5" t="s">
        <v>11</v>
      </c>
      <c r="K9" s="5" t="s">
        <v>16</v>
      </c>
      <c r="L9" s="5" t="s">
        <v>10</v>
      </c>
    </row>
    <row r="10" spans="1:12" ht="17.399999999999999" x14ac:dyDescent="0.3">
      <c r="A10" s="2">
        <v>0.28999999999999998</v>
      </c>
      <c r="B10" s="2" t="s">
        <v>29</v>
      </c>
      <c r="C10" s="2">
        <v>4997.47</v>
      </c>
      <c r="D10" s="2">
        <v>6</v>
      </c>
      <c r="E10" s="3">
        <v>45296</v>
      </c>
      <c r="F10" s="3">
        <v>45299</v>
      </c>
      <c r="G10" s="2" t="s">
        <v>12</v>
      </c>
      <c r="H10" s="2" t="s">
        <v>13</v>
      </c>
      <c r="I10" s="2">
        <v>995.78</v>
      </c>
      <c r="J10" s="2" t="s">
        <v>22</v>
      </c>
      <c r="K10" s="2" t="s">
        <v>23</v>
      </c>
      <c r="L10" s="2" t="s">
        <v>13</v>
      </c>
    </row>
    <row r="11" spans="1:12" ht="17.399999999999999" x14ac:dyDescent="0.3">
      <c r="A11" s="5">
        <v>0.44</v>
      </c>
      <c r="B11" s="5" t="s">
        <v>32</v>
      </c>
      <c r="C11" s="5">
        <v>587.72</v>
      </c>
      <c r="D11" s="5">
        <v>6</v>
      </c>
      <c r="E11" s="6">
        <v>45514</v>
      </c>
      <c r="F11" s="6">
        <v>45521</v>
      </c>
      <c r="G11" s="5" t="s">
        <v>18</v>
      </c>
      <c r="H11" s="5" t="s">
        <v>15</v>
      </c>
      <c r="I11" s="5">
        <v>102.96</v>
      </c>
      <c r="J11" s="5" t="s">
        <v>24</v>
      </c>
      <c r="K11" s="5" t="s">
        <v>24</v>
      </c>
      <c r="L11" s="5" t="s">
        <v>15</v>
      </c>
    </row>
    <row r="12" spans="1:12" ht="17.399999999999999" x14ac:dyDescent="0.3">
      <c r="A12" s="2">
        <v>0.39</v>
      </c>
      <c r="B12" s="2" t="s">
        <v>29</v>
      </c>
      <c r="C12" s="2">
        <v>2581.42</v>
      </c>
      <c r="D12" s="2">
        <v>6</v>
      </c>
      <c r="E12" s="3">
        <v>45419</v>
      </c>
      <c r="F12" s="3">
        <v>45420</v>
      </c>
      <c r="G12" s="2" t="s">
        <v>12</v>
      </c>
      <c r="H12" s="2" t="s">
        <v>15</v>
      </c>
      <c r="I12" s="2">
        <v>542.82000000000005</v>
      </c>
      <c r="J12" s="2" t="s">
        <v>16</v>
      </c>
      <c r="K12" s="2" t="s">
        <v>16</v>
      </c>
      <c r="L12" s="2" t="s">
        <v>15</v>
      </c>
    </row>
    <row r="13" spans="1:12" ht="17.399999999999999" x14ac:dyDescent="0.3">
      <c r="A13" s="5">
        <v>0.15</v>
      </c>
      <c r="B13" s="5" t="s">
        <v>29</v>
      </c>
      <c r="C13" s="5">
        <v>4261.74</v>
      </c>
      <c r="D13" s="5">
        <v>1</v>
      </c>
      <c r="E13" s="6">
        <v>45171</v>
      </c>
      <c r="F13" s="6">
        <v>45172</v>
      </c>
      <c r="G13" s="5" t="s">
        <v>18</v>
      </c>
      <c r="H13" s="5" t="s">
        <v>10</v>
      </c>
      <c r="I13" s="5">
        <v>1028.47</v>
      </c>
      <c r="J13" s="5" t="s">
        <v>11</v>
      </c>
      <c r="K13" s="5" t="s">
        <v>11</v>
      </c>
      <c r="L13" s="5" t="s">
        <v>10</v>
      </c>
    </row>
    <row r="14" spans="1:12" ht="17.399999999999999" x14ac:dyDescent="0.3">
      <c r="A14" s="2">
        <v>0.37</v>
      </c>
      <c r="B14" s="2" t="s">
        <v>29</v>
      </c>
      <c r="C14" s="2">
        <v>1573.19</v>
      </c>
      <c r="D14" s="2">
        <v>6</v>
      </c>
      <c r="E14" s="3">
        <v>45331</v>
      </c>
      <c r="F14" s="3">
        <v>45338</v>
      </c>
      <c r="G14" s="2" t="s">
        <v>18</v>
      </c>
      <c r="H14" s="2" t="s">
        <v>15</v>
      </c>
      <c r="I14" s="2">
        <v>131.5</v>
      </c>
      <c r="J14" s="2" t="s">
        <v>16</v>
      </c>
      <c r="K14" s="2" t="s">
        <v>16</v>
      </c>
      <c r="L14" s="2" t="s">
        <v>15</v>
      </c>
    </row>
    <row r="15" spans="1:12" ht="17.399999999999999" x14ac:dyDescent="0.3">
      <c r="A15" s="5">
        <v>0.27</v>
      </c>
      <c r="B15" s="5" t="s">
        <v>29</v>
      </c>
      <c r="C15" s="5">
        <v>1377.47</v>
      </c>
      <c r="D15" s="5">
        <v>2</v>
      </c>
      <c r="E15" s="6">
        <v>45074</v>
      </c>
      <c r="F15" s="6">
        <v>45075</v>
      </c>
      <c r="G15" s="5" t="s">
        <v>9</v>
      </c>
      <c r="H15" s="5" t="s">
        <v>15</v>
      </c>
      <c r="I15" s="5">
        <v>255.49</v>
      </c>
      <c r="J15" s="5" t="s">
        <v>25</v>
      </c>
      <c r="K15" s="5" t="s">
        <v>25</v>
      </c>
      <c r="L15" s="5" t="s">
        <v>15</v>
      </c>
    </row>
    <row r="16" spans="1:12" ht="17.399999999999999" x14ac:dyDescent="0.3">
      <c r="A16" s="2">
        <v>0.39</v>
      </c>
      <c r="B16" s="2" t="s">
        <v>30</v>
      </c>
      <c r="C16" s="2">
        <v>4464.8900000000003</v>
      </c>
      <c r="D16" s="2">
        <v>5</v>
      </c>
      <c r="E16" s="3">
        <v>45296</v>
      </c>
      <c r="F16" s="3">
        <v>45303</v>
      </c>
      <c r="G16" s="2" t="s">
        <v>12</v>
      </c>
      <c r="H16" s="2" t="s">
        <v>10</v>
      </c>
      <c r="I16" s="2">
        <v>804.36</v>
      </c>
      <c r="J16" s="2" t="s">
        <v>11</v>
      </c>
      <c r="K16" s="2" t="s">
        <v>11</v>
      </c>
      <c r="L16" s="2" t="s">
        <v>10</v>
      </c>
    </row>
    <row r="17" spans="1:12" ht="17.399999999999999" x14ac:dyDescent="0.3">
      <c r="A17" s="5">
        <v>0.21</v>
      </c>
      <c r="B17" s="5" t="s">
        <v>31</v>
      </c>
      <c r="C17" s="5">
        <v>1593.67</v>
      </c>
      <c r="D17" s="5">
        <v>7</v>
      </c>
      <c r="E17" s="6">
        <v>45583</v>
      </c>
      <c r="F17" s="6">
        <v>45587</v>
      </c>
      <c r="G17" s="5" t="s">
        <v>9</v>
      </c>
      <c r="H17" s="5" t="s">
        <v>13</v>
      </c>
      <c r="I17" s="5">
        <v>284.91000000000003</v>
      </c>
      <c r="J17" s="5" t="s">
        <v>19</v>
      </c>
      <c r="K17" s="5" t="s">
        <v>19</v>
      </c>
      <c r="L17" s="5" t="s">
        <v>13</v>
      </c>
    </row>
    <row r="18" spans="1:12" ht="17.399999999999999" x14ac:dyDescent="0.3">
      <c r="A18" s="2">
        <v>7.0000000000000001E-3</v>
      </c>
      <c r="B18" s="2" t="s">
        <v>30</v>
      </c>
      <c r="C18" s="2">
        <v>3292.32</v>
      </c>
      <c r="D18" s="2">
        <v>1</v>
      </c>
      <c r="E18" s="3">
        <v>45042</v>
      </c>
      <c r="F18" s="3">
        <v>45043</v>
      </c>
      <c r="G18" s="2" t="s">
        <v>9</v>
      </c>
      <c r="H18" s="2" t="s">
        <v>13</v>
      </c>
      <c r="I18" s="2">
        <v>504.83</v>
      </c>
      <c r="J18" s="2" t="s">
        <v>17</v>
      </c>
      <c r="K18" s="2" t="s">
        <v>17</v>
      </c>
      <c r="L18" s="2" t="s">
        <v>13</v>
      </c>
    </row>
    <row r="19" spans="1:12" ht="17.399999999999999" x14ac:dyDescent="0.3">
      <c r="A19" s="5">
        <v>0.31</v>
      </c>
      <c r="B19" s="5" t="s">
        <v>30</v>
      </c>
      <c r="C19" s="5">
        <v>3727.53</v>
      </c>
      <c r="D19" s="5">
        <v>5</v>
      </c>
      <c r="E19" s="6">
        <v>45228</v>
      </c>
      <c r="F19" s="6">
        <v>45235</v>
      </c>
      <c r="G19" s="5" t="s">
        <v>12</v>
      </c>
      <c r="H19" s="5" t="s">
        <v>13</v>
      </c>
      <c r="I19" s="5">
        <v>978.07</v>
      </c>
      <c r="J19" s="5" t="s">
        <v>19</v>
      </c>
      <c r="K19" s="5" t="s">
        <v>19</v>
      </c>
      <c r="L19" s="5" t="s">
        <v>13</v>
      </c>
    </row>
    <row r="20" spans="1:12" ht="17.399999999999999" x14ac:dyDescent="0.3">
      <c r="A20" s="2">
        <v>0.28000000000000003</v>
      </c>
      <c r="B20" s="2" t="s">
        <v>30</v>
      </c>
      <c r="C20" s="2">
        <v>3964.23</v>
      </c>
      <c r="D20" s="2">
        <v>9</v>
      </c>
      <c r="E20" s="3">
        <v>45448</v>
      </c>
      <c r="F20" s="3">
        <v>45451</v>
      </c>
      <c r="G20" s="2" t="s">
        <v>9</v>
      </c>
      <c r="H20" s="2" t="s">
        <v>10</v>
      </c>
      <c r="I20" s="2">
        <v>260.95</v>
      </c>
      <c r="J20" s="2" t="s">
        <v>16</v>
      </c>
      <c r="K20" s="2" t="s">
        <v>16</v>
      </c>
      <c r="L20" s="2" t="s">
        <v>10</v>
      </c>
    </row>
    <row r="21" spans="1:12" ht="17.399999999999999" x14ac:dyDescent="0.3">
      <c r="A21" s="5">
        <v>0.48</v>
      </c>
      <c r="B21" s="5" t="s">
        <v>29</v>
      </c>
      <c r="C21" s="5">
        <v>4974.32</v>
      </c>
      <c r="D21" s="5">
        <v>3</v>
      </c>
      <c r="E21" s="6">
        <v>45047</v>
      </c>
      <c r="F21" s="6">
        <v>45051</v>
      </c>
      <c r="G21" s="5" t="s">
        <v>12</v>
      </c>
      <c r="H21" s="5" t="s">
        <v>13</v>
      </c>
      <c r="I21" s="5">
        <v>727.29</v>
      </c>
      <c r="J21" s="5" t="s">
        <v>23</v>
      </c>
      <c r="K21" s="5" t="s">
        <v>23</v>
      </c>
      <c r="L21" s="5" t="s">
        <v>13</v>
      </c>
    </row>
    <row r="22" spans="1:12" ht="17.399999999999999" x14ac:dyDescent="0.3">
      <c r="A22" s="2">
        <v>8.0000000000000002E-3</v>
      </c>
      <c r="B22" s="2" t="s">
        <v>32</v>
      </c>
      <c r="C22" s="2">
        <v>4035.64</v>
      </c>
      <c r="D22" s="2">
        <v>2</v>
      </c>
      <c r="E22" s="3">
        <v>45586</v>
      </c>
      <c r="F22" s="3">
        <v>45593</v>
      </c>
      <c r="G22" s="2" t="s">
        <v>12</v>
      </c>
      <c r="H22" s="2" t="s">
        <v>15</v>
      </c>
      <c r="I22" s="2">
        <v>798.81</v>
      </c>
      <c r="J22" s="2" t="s">
        <v>23</v>
      </c>
      <c r="K22" s="2" t="s">
        <v>23</v>
      </c>
      <c r="L22" s="2" t="s">
        <v>15</v>
      </c>
    </row>
    <row r="23" spans="1:12" ht="17.399999999999999" x14ac:dyDescent="0.3">
      <c r="A23" s="5">
        <v>0.33</v>
      </c>
      <c r="B23" s="5" t="s">
        <v>31</v>
      </c>
      <c r="C23" s="5">
        <v>3319.36</v>
      </c>
      <c r="D23" s="5">
        <v>2</v>
      </c>
      <c r="E23" s="6">
        <v>45153</v>
      </c>
      <c r="F23" s="6">
        <v>45159</v>
      </c>
      <c r="G23" s="5" t="s">
        <v>9</v>
      </c>
      <c r="H23" s="5" t="s">
        <v>15</v>
      </c>
      <c r="I23" s="5">
        <v>920.22</v>
      </c>
      <c r="J23" s="5" t="s">
        <v>26</v>
      </c>
      <c r="K23" s="5" t="s">
        <v>26</v>
      </c>
      <c r="L23" s="5" t="s">
        <v>15</v>
      </c>
    </row>
    <row r="24" spans="1:12" ht="17.399999999999999" x14ac:dyDescent="0.3">
      <c r="A24" s="2">
        <v>0.24</v>
      </c>
      <c r="B24" s="2" t="s">
        <v>32</v>
      </c>
      <c r="C24" s="2">
        <v>4487.7700000000004</v>
      </c>
      <c r="D24" s="2">
        <v>3</v>
      </c>
      <c r="E24" s="3">
        <v>45657</v>
      </c>
      <c r="F24" s="3">
        <v>45659</v>
      </c>
      <c r="G24" s="2" t="s">
        <v>12</v>
      </c>
      <c r="H24" s="2" t="s">
        <v>13</v>
      </c>
      <c r="I24" s="2">
        <v>931.37</v>
      </c>
      <c r="J24" s="2" t="s">
        <v>11</v>
      </c>
      <c r="K24" s="2" t="s">
        <v>11</v>
      </c>
      <c r="L24" s="2" t="s">
        <v>13</v>
      </c>
    </row>
    <row r="25" spans="1:12" ht="17.399999999999999" x14ac:dyDescent="0.3">
      <c r="A25" s="5">
        <v>0.19</v>
      </c>
      <c r="B25" s="5" t="s">
        <v>30</v>
      </c>
      <c r="C25" s="5">
        <v>4538.1499999999996</v>
      </c>
      <c r="D25" s="5">
        <v>1</v>
      </c>
      <c r="E25" s="6">
        <v>45005</v>
      </c>
      <c r="F25" s="6">
        <v>45008</v>
      </c>
      <c r="G25" s="5" t="s">
        <v>12</v>
      </c>
      <c r="H25" s="5" t="s">
        <v>15</v>
      </c>
      <c r="I25" s="5">
        <v>375.7</v>
      </c>
      <c r="J25" s="5" t="s">
        <v>23</v>
      </c>
      <c r="K25" s="5" t="s">
        <v>23</v>
      </c>
      <c r="L25" s="5" t="s">
        <v>15</v>
      </c>
    </row>
    <row r="26" spans="1:12" ht="17.399999999999999" x14ac:dyDescent="0.3">
      <c r="A26" s="2">
        <v>0.4</v>
      </c>
      <c r="B26" s="2" t="s">
        <v>30</v>
      </c>
      <c r="C26" s="2">
        <v>4868.5200000000004</v>
      </c>
      <c r="D26" s="2">
        <v>2</v>
      </c>
      <c r="E26" s="3">
        <v>45272</v>
      </c>
      <c r="F26" s="3">
        <v>45273</v>
      </c>
      <c r="G26" s="2" t="s">
        <v>12</v>
      </c>
      <c r="H26" s="2" t="s">
        <v>15</v>
      </c>
      <c r="I26" s="2">
        <v>1072.26</v>
      </c>
      <c r="J26" s="2" t="s">
        <v>17</v>
      </c>
      <c r="K26" s="2" t="s">
        <v>17</v>
      </c>
      <c r="L26" s="2" t="s">
        <v>15</v>
      </c>
    </row>
    <row r="27" spans="1:12" ht="17.399999999999999" x14ac:dyDescent="0.3">
      <c r="A27" s="5">
        <v>0.41</v>
      </c>
      <c r="B27" s="5" t="s">
        <v>32</v>
      </c>
      <c r="C27" s="5">
        <v>3904.68</v>
      </c>
      <c r="D27" s="5">
        <v>6</v>
      </c>
      <c r="E27" s="6">
        <v>45066</v>
      </c>
      <c r="F27" s="6">
        <v>45072</v>
      </c>
      <c r="G27" s="5" t="s">
        <v>12</v>
      </c>
      <c r="H27" s="5" t="s">
        <v>13</v>
      </c>
      <c r="I27" s="5">
        <v>526.66</v>
      </c>
      <c r="J27" s="5" t="s">
        <v>14</v>
      </c>
      <c r="K27" s="5" t="s">
        <v>14</v>
      </c>
      <c r="L27" s="5" t="s">
        <v>13</v>
      </c>
    </row>
    <row r="28" spans="1:12" ht="17.399999999999999" x14ac:dyDescent="0.3">
      <c r="A28" s="2">
        <v>0.36</v>
      </c>
      <c r="B28" s="2" t="s">
        <v>32</v>
      </c>
      <c r="C28" s="2">
        <v>1055.1400000000001</v>
      </c>
      <c r="D28" s="2">
        <v>8</v>
      </c>
      <c r="E28" s="3">
        <v>45462</v>
      </c>
      <c r="F28" s="3">
        <v>45468</v>
      </c>
      <c r="G28" s="2" t="s">
        <v>9</v>
      </c>
      <c r="H28" s="2" t="s">
        <v>10</v>
      </c>
      <c r="I28" s="2">
        <v>207.61</v>
      </c>
      <c r="J28" s="2" t="s">
        <v>19</v>
      </c>
      <c r="K28" s="2" t="s">
        <v>19</v>
      </c>
      <c r="L28" s="2" t="s">
        <v>10</v>
      </c>
    </row>
    <row r="29" spans="1:12" ht="17.399999999999999" x14ac:dyDescent="0.3">
      <c r="A29" s="5">
        <v>0.04</v>
      </c>
      <c r="B29" s="5" t="s">
        <v>32</v>
      </c>
      <c r="C29" s="5">
        <v>3578.05</v>
      </c>
      <c r="D29" s="5">
        <v>4</v>
      </c>
      <c r="E29" s="6">
        <v>45215</v>
      </c>
      <c r="F29" s="6">
        <v>45217</v>
      </c>
      <c r="G29" s="5" t="s">
        <v>18</v>
      </c>
      <c r="H29" s="5" t="s">
        <v>13</v>
      </c>
      <c r="I29" s="5">
        <v>689.74</v>
      </c>
      <c r="J29" s="5" t="s">
        <v>17</v>
      </c>
      <c r="K29" s="5" t="s">
        <v>17</v>
      </c>
      <c r="L29" s="5" t="s">
        <v>13</v>
      </c>
    </row>
    <row r="30" spans="1:12" ht="17.399999999999999" x14ac:dyDescent="0.3">
      <c r="A30" s="2">
        <v>0.17</v>
      </c>
      <c r="B30" s="2" t="s">
        <v>30</v>
      </c>
      <c r="C30" s="2">
        <v>468.13</v>
      </c>
      <c r="D30" s="2">
        <v>2</v>
      </c>
      <c r="E30" s="3">
        <v>45255</v>
      </c>
      <c r="F30" s="3">
        <v>45261</v>
      </c>
      <c r="G30" s="2" t="s">
        <v>9</v>
      </c>
      <c r="H30" s="2" t="s">
        <v>10</v>
      </c>
      <c r="I30" s="2">
        <v>43.58</v>
      </c>
      <c r="J30" s="2" t="s">
        <v>14</v>
      </c>
      <c r="K30" s="2" t="s">
        <v>14</v>
      </c>
      <c r="L30" s="2" t="s">
        <v>10</v>
      </c>
    </row>
    <row r="31" spans="1:12" ht="17.399999999999999" x14ac:dyDescent="0.3">
      <c r="A31" s="5">
        <v>0.02</v>
      </c>
      <c r="B31" s="5" t="s">
        <v>30</v>
      </c>
      <c r="C31" s="5">
        <v>1658.02</v>
      </c>
      <c r="D31" s="5">
        <v>5</v>
      </c>
      <c r="E31" s="6">
        <v>45356</v>
      </c>
      <c r="F31" s="6">
        <v>45357</v>
      </c>
      <c r="G31" s="5" t="s">
        <v>18</v>
      </c>
      <c r="H31" s="5" t="s">
        <v>15</v>
      </c>
      <c r="I31" s="5">
        <v>422.33</v>
      </c>
      <c r="J31" s="5" t="s">
        <v>23</v>
      </c>
      <c r="K31" s="5" t="s">
        <v>23</v>
      </c>
      <c r="L31" s="5" t="s">
        <v>15</v>
      </c>
    </row>
    <row r="32" spans="1:12" ht="17.399999999999999" x14ac:dyDescent="0.3">
      <c r="A32" s="2">
        <v>0.17</v>
      </c>
      <c r="B32" s="2" t="s">
        <v>31</v>
      </c>
      <c r="C32" s="2">
        <v>667.46</v>
      </c>
      <c r="D32" s="2">
        <v>3</v>
      </c>
      <c r="E32" s="3">
        <v>45026</v>
      </c>
      <c r="F32" s="3">
        <v>45031</v>
      </c>
      <c r="G32" s="2" t="s">
        <v>18</v>
      </c>
      <c r="H32" s="2" t="s">
        <v>13</v>
      </c>
      <c r="I32" s="2">
        <v>123.49</v>
      </c>
      <c r="J32" s="2" t="s">
        <v>11</v>
      </c>
      <c r="K32" s="2" t="s">
        <v>11</v>
      </c>
      <c r="L32" s="2" t="s">
        <v>13</v>
      </c>
    </row>
    <row r="33" spans="1:12" ht="17.399999999999999" x14ac:dyDescent="0.3">
      <c r="A33" s="5">
        <v>0.32</v>
      </c>
      <c r="B33" s="5" t="s">
        <v>31</v>
      </c>
      <c r="C33" s="5">
        <v>4754.72</v>
      </c>
      <c r="D33" s="5">
        <v>5</v>
      </c>
      <c r="E33" s="6">
        <v>45527</v>
      </c>
      <c r="F33" s="6">
        <v>45531</v>
      </c>
      <c r="G33" s="5" t="s">
        <v>18</v>
      </c>
      <c r="H33" s="5" t="s">
        <v>15</v>
      </c>
      <c r="I33" s="5">
        <v>697.03</v>
      </c>
      <c r="J33" s="5" t="s">
        <v>27</v>
      </c>
      <c r="K33" s="5" t="s">
        <v>27</v>
      </c>
      <c r="L33" s="5" t="s">
        <v>15</v>
      </c>
    </row>
    <row r="34" spans="1:12" ht="17.399999999999999" x14ac:dyDescent="0.3">
      <c r="A34" s="2">
        <v>0.26</v>
      </c>
      <c r="B34" s="2" t="s">
        <v>30</v>
      </c>
      <c r="C34" s="2">
        <v>1759.9</v>
      </c>
      <c r="D34" s="2">
        <v>3</v>
      </c>
      <c r="E34" s="3">
        <v>44933</v>
      </c>
      <c r="F34" s="3">
        <v>44939</v>
      </c>
      <c r="G34" s="2" t="s">
        <v>12</v>
      </c>
      <c r="H34" s="2" t="s">
        <v>15</v>
      </c>
      <c r="I34" s="2">
        <v>178.58</v>
      </c>
      <c r="J34" s="2" t="s">
        <v>23</v>
      </c>
      <c r="K34" s="2" t="s">
        <v>23</v>
      </c>
      <c r="L34" s="2" t="s">
        <v>15</v>
      </c>
    </row>
    <row r="35" spans="1:12" ht="17.399999999999999" x14ac:dyDescent="0.3">
      <c r="A35" s="5">
        <v>0.35</v>
      </c>
      <c r="B35" s="5" t="s">
        <v>32</v>
      </c>
      <c r="C35" s="5">
        <v>3594.76</v>
      </c>
      <c r="D35" s="5">
        <v>4</v>
      </c>
      <c r="E35" s="6">
        <v>45097</v>
      </c>
      <c r="F35" s="6">
        <v>45099</v>
      </c>
      <c r="G35" s="5" t="s">
        <v>18</v>
      </c>
      <c r="H35" s="5" t="s">
        <v>10</v>
      </c>
      <c r="I35" s="5">
        <v>1002.97</v>
      </c>
      <c r="J35" s="5" t="s">
        <v>23</v>
      </c>
      <c r="K35" s="5" t="s">
        <v>23</v>
      </c>
      <c r="L35" s="5" t="s">
        <v>10</v>
      </c>
    </row>
    <row r="36" spans="1:12" ht="17.399999999999999" x14ac:dyDescent="0.3">
      <c r="A36" s="2">
        <v>0.28000000000000003</v>
      </c>
      <c r="B36" s="2" t="s">
        <v>32</v>
      </c>
      <c r="C36" s="2">
        <v>2899.46</v>
      </c>
      <c r="D36" s="2">
        <v>5</v>
      </c>
      <c r="E36" s="3">
        <v>45189</v>
      </c>
      <c r="F36" s="3">
        <v>45190</v>
      </c>
      <c r="G36" s="2" t="s">
        <v>12</v>
      </c>
      <c r="H36" s="2" t="s">
        <v>15</v>
      </c>
      <c r="I36" s="2">
        <v>320.43</v>
      </c>
      <c r="J36" s="2" t="s">
        <v>16</v>
      </c>
      <c r="K36" s="2" t="s">
        <v>16</v>
      </c>
      <c r="L36" s="2" t="s">
        <v>15</v>
      </c>
    </row>
    <row r="37" spans="1:12" ht="17.399999999999999" x14ac:dyDescent="0.3">
      <c r="A37" s="5">
        <v>0.28000000000000003</v>
      </c>
      <c r="B37" s="5" t="s">
        <v>31</v>
      </c>
      <c r="C37" s="5">
        <v>626.80999999999995</v>
      </c>
      <c r="D37" s="5">
        <v>7</v>
      </c>
      <c r="E37" s="6">
        <v>45298</v>
      </c>
      <c r="F37" s="6">
        <v>45303</v>
      </c>
      <c r="G37" s="5" t="s">
        <v>12</v>
      </c>
      <c r="H37" s="5" t="s">
        <v>10</v>
      </c>
      <c r="I37" s="5">
        <v>177.84</v>
      </c>
      <c r="J37" s="5" t="s">
        <v>17</v>
      </c>
      <c r="K37" s="5" t="s">
        <v>17</v>
      </c>
      <c r="L37" s="5" t="s">
        <v>10</v>
      </c>
    </row>
    <row r="38" spans="1:12" ht="17.399999999999999" x14ac:dyDescent="0.3">
      <c r="A38" s="2">
        <v>0.26</v>
      </c>
      <c r="B38" s="2" t="s">
        <v>30</v>
      </c>
      <c r="C38" s="2">
        <v>2850.59</v>
      </c>
      <c r="D38" s="2">
        <v>2</v>
      </c>
      <c r="E38" s="3">
        <v>45470</v>
      </c>
      <c r="F38" s="3">
        <v>45474</v>
      </c>
      <c r="G38" s="2" t="s">
        <v>12</v>
      </c>
      <c r="H38" s="2" t="s">
        <v>13</v>
      </c>
      <c r="I38" s="2">
        <v>528.38</v>
      </c>
      <c r="J38" s="2" t="s">
        <v>19</v>
      </c>
      <c r="K38" s="2" t="s">
        <v>19</v>
      </c>
      <c r="L38" s="2" t="s">
        <v>13</v>
      </c>
    </row>
    <row r="39" spans="1:12" ht="17.399999999999999" x14ac:dyDescent="0.3">
      <c r="A39" s="5">
        <v>0.18</v>
      </c>
      <c r="B39" s="5" t="s">
        <v>31</v>
      </c>
      <c r="C39" s="5">
        <v>3339.02</v>
      </c>
      <c r="D39" s="5">
        <v>6</v>
      </c>
      <c r="E39" s="6">
        <v>45651</v>
      </c>
      <c r="F39" s="6">
        <v>45652</v>
      </c>
      <c r="G39" s="5" t="s">
        <v>9</v>
      </c>
      <c r="H39" s="5" t="s">
        <v>15</v>
      </c>
      <c r="I39" s="5">
        <v>586.69000000000005</v>
      </c>
      <c r="J39" s="5" t="s">
        <v>14</v>
      </c>
      <c r="K39" s="5" t="s">
        <v>14</v>
      </c>
      <c r="L39" s="5" t="s">
        <v>15</v>
      </c>
    </row>
    <row r="40" spans="1:12" ht="18" x14ac:dyDescent="0.35">
      <c r="A40" s="2">
        <v>0.22</v>
      </c>
      <c r="B40" s="2" t="s">
        <v>31</v>
      </c>
      <c r="C40" s="2">
        <v>4419.43</v>
      </c>
      <c r="D40" s="2">
        <v>6</v>
      </c>
      <c r="E40" s="3">
        <v>45423</v>
      </c>
      <c r="F40" s="3">
        <v>45426</v>
      </c>
      <c r="G40" s="2" t="s">
        <v>18</v>
      </c>
      <c r="H40" s="2" t="s">
        <v>10</v>
      </c>
      <c r="I40" s="2">
        <v>742.22</v>
      </c>
      <c r="J40" s="2" t="s">
        <v>11</v>
      </c>
      <c r="K40" s="2" t="s">
        <v>11</v>
      </c>
      <c r="L40" s="4"/>
    </row>
  </sheetData>
  <conditionalFormatting sqref="A1:A40">
    <cfRule type="colorScale" priority="3">
      <colorScale>
        <cfvo type="min"/>
        <cfvo type="percentile" val="50"/>
        <cfvo type="max"/>
        <color rgb="FF63BE7B"/>
        <color rgb="FFFFEB84"/>
        <color rgb="FFF8696B"/>
      </colorScale>
    </cfRule>
    <cfRule type="dataBar" priority="4">
      <dataBar>
        <cfvo type="min"/>
        <cfvo type="max"/>
        <color rgb="FF638EC6"/>
      </dataBar>
      <extLst>
        <ext xmlns:x14="http://schemas.microsoft.com/office/spreadsheetml/2009/9/main" uri="{B025F937-C7B1-47D3-B67F-A62EFF666E3E}">
          <x14:id>{9C498466-1FF6-4784-8727-78D1E66EDFE3}</x14:id>
        </ext>
      </extLst>
    </cfRule>
  </conditionalFormatting>
  <conditionalFormatting sqref="C1:C40">
    <cfRule type="cellIs" dxfId="309" priority="1" operator="lessThan">
      <formula>2500</formula>
    </cfRule>
    <cfRule type="cellIs" dxfId="308" priority="2" operator="greaterThan">
      <formula>4000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C498466-1FF6-4784-8727-78D1E66EDFE3}">
            <x14:dataBar minLength="0" maxLength="100" border="1" negativeBarBorderColorSameAsPositive="0">
              <x14:cfvo type="autoMin"/>
              <x14:cfvo type="autoMax"/>
              <x14:borderColor rgb="FF638EC6"/>
              <x14:negativeFillColor rgb="FFFF0000"/>
              <x14:negativeBorderColor rgb="FFFF0000"/>
              <x14:axisColor rgb="FF000000"/>
            </x14:dataBar>
          </x14:cfRule>
          <xm:sqref>A1:A40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24th July </vt:lpstr>
      <vt:lpstr>Sheet2</vt:lpstr>
      <vt:lpstr>Dashboard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Raje</dc:creator>
  <cp:lastModifiedBy>Sanika Raje</cp:lastModifiedBy>
  <dcterms:created xsi:type="dcterms:W3CDTF">2026-07-23T02:28:21Z</dcterms:created>
  <dcterms:modified xsi:type="dcterms:W3CDTF">2026-07-24T03:23:10Z</dcterms:modified>
</cp:coreProperties>
</file>